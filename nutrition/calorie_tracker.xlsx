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als" sheetId="1" state="visible" r:id="rId1"/>
    <sheet name="Daily" sheetId="2" state="visible" r:id="rId2"/>
    <sheet name="Trends" sheetId="3" state="visible" r:id="rId3"/>
    <sheet name="Targets" sheetId="4" state="visible" r:id="rId4"/>
    <sheet name="Refere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"/>
    <numFmt numFmtId="166" formatCode="+#,##0;-#,##0;0"/>
  </numFmts>
  <fonts count="8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color rgb="000000FF"/>
      <sz val="10"/>
    </font>
    <font>
      <name val="Arial"/>
      <color rgb="00000000"/>
      <sz val="10"/>
    </font>
    <font>
      <name val="Arial"/>
      <b val="1"/>
      <sz val="10"/>
    </font>
    <font>
      <name val="Arial"/>
      <sz val="10"/>
    </font>
  </fonts>
  <fills count="5">
    <fill>
      <patternFill/>
    </fill>
    <fill>
      <patternFill patternType="gray125"/>
    </fill>
    <fill>
      <patternFill patternType="solid">
        <fgColor rgb="002F5597"/>
      </patternFill>
    </fill>
    <fill>
      <patternFill patternType="solid">
        <fgColor rgb="00FFFF00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164" fontId="4" fillId="0" borderId="1" pivotButton="0" quotePrefix="0" xfId="0"/>
    <xf numFmtId="0" fontId="4" fillId="0" borderId="1" pivotButton="0" quotePrefix="0" xfId="0"/>
    <xf numFmtId="0" fontId="4" fillId="0" borderId="1" applyAlignment="1" pivotButton="0" quotePrefix="0" xfId="0">
      <alignment vertical="top" wrapText="1"/>
    </xf>
    <xf numFmtId="3" fontId="4" fillId="0" borderId="1" pivotButton="0" quotePrefix="0" xfId="0"/>
    <xf numFmtId="3" fontId="5" fillId="0" borderId="1" pivotButton="0" quotePrefix="0" xfId="0"/>
    <xf numFmtId="165" fontId="4" fillId="0" borderId="1" pivotButton="0" quotePrefix="0" xfId="0"/>
    <xf numFmtId="165" fontId="5" fillId="0" borderId="1" pivotButton="0" quotePrefix="0" xfId="0"/>
    <xf numFmtId="164" fontId="4" fillId="3" borderId="1" pivotButton="0" quotePrefix="0" xfId="0"/>
    <xf numFmtId="0" fontId="4" fillId="3" borderId="1" pivotButton="0" quotePrefix="0" xfId="0"/>
    <xf numFmtId="0" fontId="4" fillId="3" borderId="1" applyAlignment="1" pivotButton="0" quotePrefix="0" xfId="0">
      <alignment vertical="top" wrapText="1"/>
    </xf>
    <xf numFmtId="3" fontId="4" fillId="3" borderId="1" pivotButton="0" quotePrefix="0" xfId="0"/>
    <xf numFmtId="3" fontId="5" fillId="3" borderId="1" pivotButton="0" quotePrefix="0" xfId="0"/>
    <xf numFmtId="165" fontId="4" fillId="3" borderId="1" pivotButton="0" quotePrefix="0" xfId="0"/>
    <xf numFmtId="165" fontId="5" fillId="3" borderId="1" pivotButton="0" quotePrefix="0" xfId="0"/>
    <xf numFmtId="1" fontId="5" fillId="0" borderId="1" pivotButton="0" quotePrefix="0" xfId="0"/>
    <xf numFmtId="166" fontId="5" fillId="0" borderId="1" pivotButton="0" quotePrefix="0" xfId="0"/>
    <xf numFmtId="1" fontId="5" fillId="4" borderId="1" pivotButton="0" quotePrefix="0" xfId="0"/>
    <xf numFmtId="3" fontId="5" fillId="4" borderId="1" pivotButton="0" quotePrefix="0" xfId="0"/>
    <xf numFmtId="165" fontId="5" fillId="4" borderId="1" pivotButton="0" quotePrefix="0" xfId="0"/>
    <xf numFmtId="166" fontId="5" fillId="4" borderId="1" pivotButton="0" quotePrefix="0" xfId="0"/>
    <xf numFmtId="0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2" fontId="5" fillId="0" borderId="1" pivotButton="0" quotePrefix="0" xfId="0"/>
    <xf numFmtId="0" fontId="2" fillId="0" borderId="0" applyAlignment="1" pivotButton="0" quotePrefix="0" xfId="0">
      <alignment vertical="center" wrapText="1"/>
    </xf>
    <xf numFmtId="1" fontId="4" fillId="3" borderId="1" pivotButton="0" quotePrefix="0" xfId="0"/>
    <xf numFmtId="2" fontId="4" fillId="3" borderId="1" pivotButton="0" quotePrefix="0" xfId="0"/>
    <xf numFmtId="3" fontId="6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46" customWidth="1" min="3" max="3"/>
    <col width="9" customWidth="1" min="4" max="4"/>
    <col width="9" customWidth="1" min="5" max="5"/>
    <col width="9" customWidth="1" min="6" max="6"/>
    <col width="11" customWidth="1" min="7" max="7"/>
    <col width="11" customWidth="1" min="8" max="8"/>
    <col width="11" customWidth="1" min="9" max="9"/>
    <col width="9" customWidth="1" min="10" max="10"/>
    <col width="9" customWidth="1" min="11" max="11"/>
    <col width="9" customWidth="1" min="12" max="12"/>
    <col width="10" customWidth="1" min="13" max="13"/>
    <col width="48" customWidth="1" min="14" max="14"/>
  </cols>
  <sheetData>
    <row r="1">
      <c r="A1" s="1" t="inlineStr">
        <is>
          <t>Meal log - one row per meal, calorie/protein/fat given as a low-high range</t>
        </is>
      </c>
    </row>
    <row r="2" ht="42" customHeight="1">
      <c r="A2" s="2" t="inlineStr">
        <is>
          <t>Edit the blue cells only. Add a new meal as a new row directly under the last one, then re-run nutrition/build_tracker.py so the Daily and Trends sheets pick it up. Set status to "pending" for anything not yet confirmed eaten - pending rows are excluded from every total. Yellow rows are awaiting confirmation.</t>
        </is>
      </c>
    </row>
    <row r="4">
      <c r="A4" s="3" t="inlineStr">
        <is>
          <t>Date</t>
        </is>
      </c>
      <c r="B4" s="3" t="inlineStr">
        <is>
          <t>Meal</t>
        </is>
      </c>
      <c r="C4" s="3" t="inlineStr">
        <is>
          <t>Items</t>
        </is>
      </c>
      <c r="D4" s="3" t="inlineStr">
        <is>
          <t>Cal low</t>
        </is>
      </c>
      <c r="E4" s="3" t="inlineStr">
        <is>
          <t>Cal high</t>
        </is>
      </c>
      <c r="F4" s="3" t="inlineStr">
        <is>
          <t>Cal mid</t>
        </is>
      </c>
      <c r="G4" s="3" t="inlineStr">
        <is>
          <t>Protein low (g)</t>
        </is>
      </c>
      <c r="H4" s="3" t="inlineStr">
        <is>
          <t>Protein high (g)</t>
        </is>
      </c>
      <c r="I4" s="3" t="inlineStr">
        <is>
          <t>Protein mid (g)</t>
        </is>
      </c>
      <c r="J4" s="3" t="inlineStr">
        <is>
          <t>Fat low (g)</t>
        </is>
      </c>
      <c r="K4" s="3" t="inlineStr">
        <is>
          <t>Fat high (g)</t>
        </is>
      </c>
      <c r="L4" s="3" t="inlineStr">
        <is>
          <t>Fat mid (g)</t>
        </is>
      </c>
      <c r="M4" s="3" t="inlineStr">
        <is>
          <t>Status</t>
        </is>
      </c>
      <c r="N4" s="3" t="inlineStr">
        <is>
          <t>Notes</t>
        </is>
      </c>
    </row>
    <row r="5">
      <c r="A5" s="4" t="n">
        <v>46269</v>
      </c>
      <c r="B5" s="5" t="inlineStr">
        <is>
          <t>Breakfast</t>
        </is>
      </c>
      <c r="C5" s="6" t="inlineStr">
        <is>
          <t>Dosa + sambar + red chutney (coconut chutney skipped)</t>
        </is>
      </c>
      <c r="D5" s="7" t="n">
        <v>360</v>
      </c>
      <c r="E5" s="7" t="n">
        <v>450</v>
      </c>
      <c r="F5" s="8">
        <f>AVERAGE(D5:E5)</f>
        <v/>
      </c>
      <c r="G5" s="9" t="n">
        <v>6</v>
      </c>
      <c r="H5" s="9" t="n">
        <v>9</v>
      </c>
      <c r="I5" s="10">
        <f>AVERAGE(G5:H5)</f>
        <v/>
      </c>
      <c r="J5" s="9" t="n">
        <v>8</v>
      </c>
      <c r="K5" s="9" t="n">
        <v>12</v>
      </c>
      <c r="L5" s="10">
        <f>AVERAGE(J5:K5)</f>
        <v/>
      </c>
      <c r="M5" s="5" t="inlineStr">
        <is>
          <t>logged</t>
        </is>
      </c>
      <c r="N5" s="6" t="inlineStr"/>
    </row>
    <row r="6">
      <c r="A6" s="4" t="n">
        <v>46269</v>
      </c>
      <c r="B6" s="5" t="inlineStr">
        <is>
          <t>Dinner</t>
        </is>
      </c>
      <c r="C6" s="6" t="inlineStr">
        <is>
          <t>2 maida porotta + kadala curry</t>
        </is>
      </c>
      <c r="D6" s="7" t="n">
        <v>520</v>
      </c>
      <c r="E6" s="7" t="n">
        <v>800</v>
      </c>
      <c r="F6" s="8">
        <f>AVERAGE(D6:E6)</f>
        <v/>
      </c>
      <c r="G6" s="9" t="n">
        <v>15</v>
      </c>
      <c r="H6" s="9" t="n">
        <v>21</v>
      </c>
      <c r="I6" s="10">
        <f>AVERAGE(G6:H6)</f>
        <v/>
      </c>
      <c r="J6" s="9" t="n">
        <v>23</v>
      </c>
      <c r="K6" s="9" t="n">
        <v>38</v>
      </c>
      <c r="L6" s="10">
        <f>AVERAGE(J6:K6)</f>
        <v/>
      </c>
      <c r="M6" s="5" t="inlineStr">
        <is>
          <t>logged</t>
        </is>
      </c>
      <c r="N6" s="6" t="inlineStr">
        <is>
          <t>Dropped from 3 to 2 porotta to tighten calories and fat</t>
        </is>
      </c>
    </row>
    <row r="7">
      <c r="A7" s="4" t="n">
        <v>46269</v>
      </c>
      <c r="B7" s="5" t="inlineStr">
        <is>
          <t>Lunch</t>
        </is>
      </c>
      <c r="C7" s="6" t="inlineStr">
        <is>
          <t>Chicken biryani (half plate) + raita</t>
        </is>
      </c>
      <c r="D7" s="7" t="n">
        <v>500</v>
      </c>
      <c r="E7" s="7" t="n">
        <v>680</v>
      </c>
      <c r="F7" s="8">
        <f>AVERAGE(D7:E7)</f>
        <v/>
      </c>
      <c r="G7" s="9" t="n">
        <v>25</v>
      </c>
      <c r="H7" s="9" t="n">
        <v>35</v>
      </c>
      <c r="I7" s="10">
        <f>AVERAGE(G7:H7)</f>
        <v/>
      </c>
      <c r="J7" s="9" t="n">
        <v>18</v>
      </c>
      <c r="K7" s="9" t="n">
        <v>28</v>
      </c>
      <c r="L7" s="10">
        <f>AVERAGE(J7:K7)</f>
        <v/>
      </c>
      <c r="M7" s="5" t="inlineStr">
        <is>
          <t>logged</t>
        </is>
      </c>
      <c r="N7" s="6" t="inlineStr"/>
    </row>
    <row r="8">
      <c r="A8" s="4" t="n">
        <v>46269</v>
      </c>
      <c r="B8" s="5" t="inlineStr">
        <is>
          <t>Snack</t>
        </is>
      </c>
      <c r="C8" s="6" t="inlineStr">
        <is>
          <t>Black coffee + 1 whey scoop</t>
        </is>
      </c>
      <c r="D8" s="7" t="n">
        <v>100</v>
      </c>
      <c r="E8" s="7" t="n">
        <v>130</v>
      </c>
      <c r="F8" s="8">
        <f>AVERAGE(D8:E8)</f>
        <v/>
      </c>
      <c r="G8" s="9" t="n">
        <v>20</v>
      </c>
      <c r="H8" s="9" t="n">
        <v>25</v>
      </c>
      <c r="I8" s="10">
        <f>AVERAGE(G8:H8)</f>
        <v/>
      </c>
      <c r="J8" s="9" t="n">
        <v>1</v>
      </c>
      <c r="K8" s="9" t="n">
        <v>3</v>
      </c>
      <c r="L8" s="10">
        <f>AVERAGE(J8:K8)</f>
        <v/>
      </c>
      <c r="M8" s="5" t="inlineStr">
        <is>
          <t>logged</t>
        </is>
      </c>
      <c r="N8" s="6" t="inlineStr"/>
    </row>
    <row r="9">
      <c r="A9" s="4" t="n">
        <v>46269</v>
      </c>
      <c r="B9" s="5" t="inlineStr">
        <is>
          <t>Snack</t>
        </is>
      </c>
      <c r="C9" s="6" t="inlineStr">
        <is>
          <t>1 cookie (cashew/almond biscuit)</t>
        </is>
      </c>
      <c r="D9" s="7" t="n">
        <v>38</v>
      </c>
      <c r="E9" s="7" t="n">
        <v>38</v>
      </c>
      <c r="F9" s="8">
        <f>AVERAGE(D9:E9)</f>
        <v/>
      </c>
      <c r="G9" s="9" t="n">
        <v>0.5</v>
      </c>
      <c r="H9" s="9" t="n">
        <v>0.5</v>
      </c>
      <c r="I9" s="10">
        <f>AVERAGE(G9:H9)</f>
        <v/>
      </c>
      <c r="J9" s="9" t="n">
        <v>2</v>
      </c>
      <c r="K9" s="9" t="n">
        <v>2</v>
      </c>
      <c r="L9" s="10">
        <f>AVERAGE(J9:K9)</f>
        <v/>
      </c>
      <c r="M9" s="5" t="inlineStr">
        <is>
          <t>logged</t>
        </is>
      </c>
      <c r="N9" s="6" t="inlineStr"/>
    </row>
    <row r="10">
      <c r="A10" s="4" t="n">
        <v>46270</v>
      </c>
      <c r="B10" s="5" t="inlineStr">
        <is>
          <t>Breakfast</t>
        </is>
      </c>
      <c r="C10" s="6" t="inlineStr">
        <is>
          <t>2 dosa + sambar + red chutney (coconut chutney skipped)</t>
        </is>
      </c>
      <c r="D10" s="7" t="n">
        <v>410</v>
      </c>
      <c r="E10" s="7" t="n">
        <v>520</v>
      </c>
      <c r="F10" s="8">
        <f>AVERAGE(D10:E10)</f>
        <v/>
      </c>
      <c r="G10" s="9" t="n">
        <v>11</v>
      </c>
      <c r="H10" s="9" t="n">
        <v>15</v>
      </c>
      <c r="I10" s="10">
        <f>AVERAGE(G10:H10)</f>
        <v/>
      </c>
      <c r="J10" s="9" t="n">
        <v>10</v>
      </c>
      <c r="K10" s="9" t="n">
        <v>17</v>
      </c>
      <c r="L10" s="10">
        <f>AVERAGE(J10:K10)</f>
        <v/>
      </c>
      <c r="M10" s="5" t="inlineStr">
        <is>
          <t>logged</t>
        </is>
      </c>
      <c r="N10" s="6" t="inlineStr"/>
    </row>
    <row r="11">
      <c r="A11" s="4" t="n">
        <v>46270</v>
      </c>
      <c r="B11" s="5" t="inlineStr">
        <is>
          <t>Dinner</t>
        </is>
      </c>
      <c r="C11" s="6" t="inlineStr">
        <is>
          <t>Fresh pineapple juice (~350-450 ml takeaway cup) - no added sugar</t>
        </is>
      </c>
      <c r="D11" s="7" t="n">
        <v>175</v>
      </c>
      <c r="E11" s="7" t="n">
        <v>240</v>
      </c>
      <c r="F11" s="8">
        <f>AVERAGE(D11:E11)</f>
        <v/>
      </c>
      <c r="G11" s="9" t="n">
        <v>1</v>
      </c>
      <c r="H11" s="9" t="n">
        <v>2</v>
      </c>
      <c r="I11" s="10">
        <f>AVERAGE(G11:H11)</f>
        <v/>
      </c>
      <c r="J11" s="9" t="n">
        <v>0</v>
      </c>
      <c r="K11" s="9" t="n">
        <v>0.5</v>
      </c>
      <c r="L11" s="10">
        <f>AVERAGE(J11:K11)</f>
        <v/>
      </c>
      <c r="M11" s="5" t="inlineStr">
        <is>
          <t>logged</t>
        </is>
      </c>
      <c r="N11" s="6" t="inlineStr">
        <is>
          <t>Juice only - no solid food at dinner. ~35-45 g natural sugar; no fibre; ~1.5 g protein</t>
        </is>
      </c>
    </row>
    <row r="12">
      <c r="A12" s="4" t="n">
        <v>46270</v>
      </c>
      <c r="B12" s="5" t="inlineStr">
        <is>
          <t>Lunch</t>
        </is>
      </c>
      <c r="C12" s="6" t="inlineStr">
        <is>
          <t>Fish fry + ~half container barik rice + sambar + veg raita + red chutney + veg side</t>
        </is>
      </c>
      <c r="D12" s="7" t="n">
        <v>590</v>
      </c>
      <c r="E12" s="7" t="n">
        <v>840</v>
      </c>
      <c r="F12" s="8">
        <f>AVERAGE(D12:E12)</f>
        <v/>
      </c>
      <c r="G12" s="9" t="n">
        <v>28</v>
      </c>
      <c r="H12" s="9" t="n">
        <v>39</v>
      </c>
      <c r="I12" s="10">
        <f>AVERAGE(G12:H12)</f>
        <v/>
      </c>
      <c r="J12" s="9" t="n">
        <v>20</v>
      </c>
      <c r="K12" s="9" t="n">
        <v>33</v>
      </c>
      <c r="L12" s="10">
        <f>AVERAGE(J12:K12)</f>
        <v/>
      </c>
      <c r="M12" s="5" t="inlineStr">
        <is>
          <t>logged</t>
        </is>
      </c>
      <c r="N12" s="6" t="inlineStr"/>
    </row>
    <row r="13">
      <c r="A13" s="4" t="n">
        <v>46270</v>
      </c>
      <c r="B13" s="5" t="inlineStr">
        <is>
          <t>Snack</t>
        </is>
      </c>
      <c r="C13" s="6" t="inlineStr">
        <is>
          <t>Black coffee + 1 whey scoop (no sugar)</t>
        </is>
      </c>
      <c r="D13" s="7" t="n">
        <v>100</v>
      </c>
      <c r="E13" s="7" t="n">
        <v>130</v>
      </c>
      <c r="F13" s="8">
        <f>AVERAGE(D13:E13)</f>
        <v/>
      </c>
      <c r="G13" s="9" t="n">
        <v>20</v>
      </c>
      <c r="H13" s="9" t="n">
        <v>25</v>
      </c>
      <c r="I13" s="10">
        <f>AVERAGE(G13:H13)</f>
        <v/>
      </c>
      <c r="J13" s="9" t="n">
        <v>1</v>
      </c>
      <c r="K13" s="9" t="n">
        <v>3</v>
      </c>
      <c r="L13" s="10">
        <f>AVERAGE(J13:K13)</f>
        <v/>
      </c>
      <c r="M13" s="5" t="inlineStr">
        <is>
          <t>logged</t>
        </is>
      </c>
      <c r="N13" s="6" t="inlineStr"/>
    </row>
    <row r="14">
      <c r="A14" s="4" t="n">
        <v>46270</v>
      </c>
      <c r="B14" s="5" t="inlineStr">
        <is>
          <t>Snack</t>
        </is>
      </c>
      <c r="C14" s="6" t="inlineStr">
        <is>
          <t>1 whey scoop + water</t>
        </is>
      </c>
      <c r="D14" s="7" t="n">
        <v>100</v>
      </c>
      <c r="E14" s="7" t="n">
        <v>120</v>
      </c>
      <c r="F14" s="8">
        <f>AVERAGE(D14:E14)</f>
        <v/>
      </c>
      <c r="G14" s="9" t="n">
        <v>20</v>
      </c>
      <c r="H14" s="9" t="n">
        <v>25</v>
      </c>
      <c r="I14" s="10">
        <f>AVERAGE(G14:H14)</f>
        <v/>
      </c>
      <c r="J14" s="9" t="n">
        <v>1</v>
      </c>
      <c r="K14" s="9" t="n">
        <v>2</v>
      </c>
      <c r="L14" s="10">
        <f>AVERAGE(J14:K14)</f>
        <v/>
      </c>
      <c r="M14" s="5" t="inlineStr">
        <is>
          <t>logged</t>
        </is>
      </c>
      <c r="N14" s="6" t="inlineStr"/>
    </row>
    <row r="15">
      <c r="A15" s="4" t="n">
        <v>46270</v>
      </c>
      <c r="B15" s="5" t="inlineStr">
        <is>
          <t>Snack</t>
        </is>
      </c>
      <c r="C15" s="6" t="inlineStr">
        <is>
          <t>3 uzhunnu vada + coconut chutney</t>
        </is>
      </c>
      <c r="D15" s="7" t="n">
        <v>480</v>
      </c>
      <c r="E15" s="7" t="n">
        <v>650</v>
      </c>
      <c r="F15" s="8">
        <f>AVERAGE(D15:E15)</f>
        <v/>
      </c>
      <c r="G15" s="9" t="n">
        <v>11.5</v>
      </c>
      <c r="H15" s="9" t="n">
        <v>17</v>
      </c>
      <c r="I15" s="10">
        <f>AVERAGE(G15:H15)</f>
        <v/>
      </c>
      <c r="J15" s="9" t="n">
        <v>29</v>
      </c>
      <c r="K15" s="9" t="n">
        <v>40</v>
      </c>
      <c r="L15" s="10">
        <f>AVERAGE(J15:K15)</f>
        <v/>
      </c>
      <c r="M15" s="5" t="inlineStr">
        <is>
          <t>logged</t>
        </is>
      </c>
      <c r="N15" s="6" t="inlineStr">
        <is>
          <t>Coconut chutney included this time (skipped at breakfast both days)</t>
        </is>
      </c>
    </row>
    <row r="16">
      <c r="A16" s="11" t="n">
        <v>46270</v>
      </c>
      <c r="B16" s="12" t="inlineStr">
        <is>
          <t>Supplement</t>
        </is>
      </c>
      <c r="C16" s="13" t="inlineStr">
        <is>
          <t>Pre-workout scoop</t>
        </is>
      </c>
      <c r="D16" s="14" t="n">
        <v>5</v>
      </c>
      <c r="E16" s="14" t="n">
        <v>15</v>
      </c>
      <c r="F16" s="15">
        <f>AVERAGE(D16:E16)</f>
        <v/>
      </c>
      <c r="G16" s="16" t="n">
        <v>0</v>
      </c>
      <c r="H16" s="16" t="n">
        <v>0</v>
      </c>
      <c r="I16" s="17">
        <f>AVERAGE(G16:H16)</f>
        <v/>
      </c>
      <c r="J16" s="16" t="n">
        <v>0</v>
      </c>
      <c r="K16" s="16" t="n">
        <v>0</v>
      </c>
      <c r="L16" s="17">
        <f>AVERAGE(J16:K16)</f>
        <v/>
      </c>
      <c r="M16" s="12" t="inlineStr">
        <is>
          <t>pending</t>
        </is>
      </c>
      <c r="N16" s="13" t="inlineStr">
        <is>
          <t>Planned but not taken as of last check - confirm before logging</t>
        </is>
      </c>
    </row>
    <row r="17">
      <c r="A17" s="4" t="n">
        <v>46271</v>
      </c>
      <c r="B17" s="5" t="inlineStr">
        <is>
          <t>Breakfast</t>
        </is>
      </c>
      <c r="C17" s="6" t="inlineStr">
        <is>
          <t>2 maida porotta + kadala curry</t>
        </is>
      </c>
      <c r="D17" s="7" t="n">
        <v>520</v>
      </c>
      <c r="E17" s="7" t="n">
        <v>800</v>
      </c>
      <c r="F17" s="8">
        <f>AVERAGE(D17:E17)</f>
        <v/>
      </c>
      <c r="G17" s="9" t="n">
        <v>15</v>
      </c>
      <c r="H17" s="9" t="n">
        <v>21</v>
      </c>
      <c r="I17" s="10">
        <f>AVERAGE(G17:H17)</f>
        <v/>
      </c>
      <c r="J17" s="9" t="n">
        <v>23</v>
      </c>
      <c r="K17" s="9" t="n">
        <v>38</v>
      </c>
      <c r="L17" s="10">
        <f>AVERAGE(J17:K17)</f>
        <v/>
      </c>
      <c r="M17" s="5" t="inlineStr">
        <is>
          <t>logged</t>
        </is>
      </c>
      <c r="N17" s="6" t="inlineStr">
        <is>
          <t>Ate 2 of the 3 served - deliberately cut one for calories; costed identically to Day 1 dinner</t>
        </is>
      </c>
    </row>
  </sheetData>
  <mergeCells count="1">
    <mergeCell ref="A2:N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9" customWidth="1" min="3" max="3"/>
    <col width="9" customWidth="1" min="4" max="4"/>
    <col width="11" customWidth="1" min="5" max="5"/>
    <col width="11" customWidth="1" min="6" max="6"/>
    <col width="11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4" customWidth="1" min="13" max="13"/>
  </cols>
  <sheetData>
    <row r="1">
      <c r="A1" s="1" t="inlineStr">
        <is>
          <t>Daily totals - logged meals only (pending rows excluded)</t>
        </is>
      </c>
    </row>
    <row r="2" ht="28" customHeight="1">
      <c r="A2" s="2" t="inlineStr">
        <is>
          <t>Every cell on this sheet is a formula over the Meals sheet. Do not type over them - correct the underlying meal row instead. Mid = midpoint of the low-high range, which is the number to use for trends.</t>
        </is>
      </c>
    </row>
    <row r="4">
      <c r="A4" s="3" t="inlineStr">
        <is>
          <t>Date</t>
        </is>
      </c>
      <c r="B4" s="3" t="inlineStr">
        <is>
          <t>Cal low</t>
        </is>
      </c>
      <c r="C4" s="3" t="inlineStr">
        <is>
          <t>Cal high</t>
        </is>
      </c>
      <c r="D4" s="3" t="inlineStr">
        <is>
          <t>Cal mid</t>
        </is>
      </c>
      <c r="E4" s="3" t="inlineStr">
        <is>
          <t>Protein low (g)</t>
        </is>
      </c>
      <c r="F4" s="3" t="inlineStr">
        <is>
          <t>Protein high (g)</t>
        </is>
      </c>
      <c r="G4" s="3" t="inlineStr">
        <is>
          <t>Protein mid (g)</t>
        </is>
      </c>
      <c r="H4" s="3" t="inlineStr">
        <is>
          <t>Fat low (g)</t>
        </is>
      </c>
      <c r="I4" s="3" t="inlineStr">
        <is>
          <t>Fat high (g)</t>
        </is>
      </c>
      <c r="J4" s="3" t="inlineStr">
        <is>
          <t>Fat mid (g)</t>
        </is>
      </c>
      <c r="K4" s="3" t="inlineStr">
        <is>
          <t>Meals logged</t>
        </is>
      </c>
      <c r="L4" s="3" t="inlineStr">
        <is>
          <t>Pending items</t>
        </is>
      </c>
      <c r="M4" s="3" t="inlineStr">
        <is>
          <t>vs target (mid)</t>
        </is>
      </c>
    </row>
    <row r="5">
      <c r="A5" s="18" t="n">
        <v>46269</v>
      </c>
      <c r="B5" s="8">
        <f>SUMIFS(Meals!$D$5:$D$17,Meals!$A$5:$A$17,$A5,Meals!$M$5:$M$17,"logged")</f>
        <v/>
      </c>
      <c r="C5" s="8">
        <f>SUMIFS(Meals!$E$5:$E$17,Meals!$A$5:$A$17,$A5,Meals!$M$5:$M$17,"logged")</f>
        <v/>
      </c>
      <c r="D5" s="8">
        <f>AVERAGE(B5:C5)</f>
        <v/>
      </c>
      <c r="E5" s="10">
        <f>SUMIFS(Meals!$G$5:$G$17,Meals!$A$5:$A$17,$A5,Meals!$M$5:$M$17,"logged")</f>
        <v/>
      </c>
      <c r="F5" s="10">
        <f>SUMIFS(Meals!$H$5:$H$17,Meals!$A$5:$A$17,$A5,Meals!$M$5:$M$17,"logged")</f>
        <v/>
      </c>
      <c r="G5" s="10">
        <f>AVERAGE(E5:F5)</f>
        <v/>
      </c>
      <c r="H5" s="10">
        <f>SUMIFS(Meals!$J$5:$J$17,Meals!$A$5:$A$17,$A5,Meals!$M$5:$M$17,"logged")</f>
        <v/>
      </c>
      <c r="I5" s="10">
        <f>SUMIFS(Meals!$K$5:$K$17,Meals!$A$5:$A$17,$A5,Meals!$M$5:$M$17,"logged")</f>
        <v/>
      </c>
      <c r="J5" s="10">
        <f>AVERAGE(H5:I5)</f>
        <v/>
      </c>
      <c r="K5" s="18">
        <f>COUNTIFS(Meals!$A$5:$A$17,$A5,Meals!$M$5:$M$17,"logged")</f>
        <v/>
      </c>
      <c r="L5" s="18">
        <f>COUNTIFS(Meals!$A$5:$A$17,$A5,Meals!$M$5:$M$17,"pending")</f>
        <v/>
      </c>
      <c r="M5" s="19">
        <f>D5-Targets!$B$16</f>
        <v/>
      </c>
    </row>
    <row r="6">
      <c r="A6" s="20" t="n">
        <v>46270</v>
      </c>
      <c r="B6" s="21">
        <f>SUMIFS(Meals!$D$5:$D$17,Meals!$A$5:$A$17,$A6,Meals!$M$5:$M$17,"logged")</f>
        <v/>
      </c>
      <c r="C6" s="21">
        <f>SUMIFS(Meals!$E$5:$E$17,Meals!$A$5:$A$17,$A6,Meals!$M$5:$M$17,"logged")</f>
        <v/>
      </c>
      <c r="D6" s="21">
        <f>AVERAGE(B6:C6)</f>
        <v/>
      </c>
      <c r="E6" s="22">
        <f>SUMIFS(Meals!$G$5:$G$17,Meals!$A$5:$A$17,$A6,Meals!$M$5:$M$17,"logged")</f>
        <v/>
      </c>
      <c r="F6" s="22">
        <f>SUMIFS(Meals!$H$5:$H$17,Meals!$A$5:$A$17,$A6,Meals!$M$5:$M$17,"logged")</f>
        <v/>
      </c>
      <c r="G6" s="22">
        <f>AVERAGE(E6:F6)</f>
        <v/>
      </c>
      <c r="H6" s="22">
        <f>SUMIFS(Meals!$J$5:$J$17,Meals!$A$5:$A$17,$A6,Meals!$M$5:$M$17,"logged")</f>
        <v/>
      </c>
      <c r="I6" s="22">
        <f>SUMIFS(Meals!$K$5:$K$17,Meals!$A$5:$A$17,$A6,Meals!$M$5:$M$17,"logged")</f>
        <v/>
      </c>
      <c r="J6" s="22">
        <f>AVERAGE(H6:I6)</f>
        <v/>
      </c>
      <c r="K6" s="20">
        <f>COUNTIFS(Meals!$A$5:$A$17,$A6,Meals!$M$5:$M$17,"logged")</f>
        <v/>
      </c>
      <c r="L6" s="20">
        <f>COUNTIFS(Meals!$A$5:$A$17,$A6,Meals!$M$5:$M$17,"pending")</f>
        <v/>
      </c>
      <c r="M6" s="23">
        <f>D6-Targets!$B$16</f>
        <v/>
      </c>
    </row>
    <row r="7">
      <c r="A7" s="18" t="n">
        <v>46271</v>
      </c>
      <c r="B7" s="8">
        <f>SUMIFS(Meals!$D$5:$D$17,Meals!$A$5:$A$17,$A7,Meals!$M$5:$M$17,"logged")</f>
        <v/>
      </c>
      <c r="C7" s="8">
        <f>SUMIFS(Meals!$E$5:$E$17,Meals!$A$5:$A$17,$A7,Meals!$M$5:$M$17,"logged")</f>
        <v/>
      </c>
      <c r="D7" s="8">
        <f>AVERAGE(B7:C7)</f>
        <v/>
      </c>
      <c r="E7" s="10">
        <f>SUMIFS(Meals!$G$5:$G$17,Meals!$A$5:$A$17,$A7,Meals!$M$5:$M$17,"logged")</f>
        <v/>
      </c>
      <c r="F7" s="10">
        <f>SUMIFS(Meals!$H$5:$H$17,Meals!$A$5:$A$17,$A7,Meals!$M$5:$M$17,"logged")</f>
        <v/>
      </c>
      <c r="G7" s="10">
        <f>AVERAGE(E7:F7)</f>
        <v/>
      </c>
      <c r="H7" s="10">
        <f>SUMIFS(Meals!$J$5:$J$17,Meals!$A$5:$A$17,$A7,Meals!$M$5:$M$17,"logged")</f>
        <v/>
      </c>
      <c r="I7" s="10">
        <f>SUMIFS(Meals!$K$5:$K$17,Meals!$A$5:$A$17,$A7,Meals!$M$5:$M$17,"logged")</f>
        <v/>
      </c>
      <c r="J7" s="10">
        <f>AVERAGE(H7:I7)</f>
        <v/>
      </c>
      <c r="K7" s="18">
        <f>COUNTIFS(Meals!$A$5:$A$17,$A7,Meals!$M$5:$M$17,"logged")</f>
        <v/>
      </c>
      <c r="L7" s="18">
        <f>COUNTIFS(Meals!$A$5:$A$17,$A7,Meals!$M$5:$M$17,"pending")</f>
        <v/>
      </c>
      <c r="M7" s="19">
        <f>D7-Targets!$B$16</f>
        <v/>
      </c>
    </row>
  </sheetData>
  <mergeCells count="1">
    <mergeCell ref="A2:M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3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2" customWidth="1" min="3" max="3"/>
    <col width="16" customWidth="1" min="4" max="4"/>
    <col width="18" customWidth="1" min="5" max="5"/>
    <col width="16" customWidth="1" min="6" max="6"/>
  </cols>
  <sheetData>
    <row r="1">
      <c r="A1" s="1" t="inlineStr">
        <is>
          <t>Trends - averages of the daily midpoints</t>
        </is>
      </c>
    </row>
    <row r="2">
      <c r="A2" s="24" t="inlineStr">
        <is>
          <t>Targets come from the Targets sheet - change them there, not here.</t>
        </is>
      </c>
    </row>
    <row r="4">
      <c r="A4" s="25" t="inlineStr">
        <is>
          <t>Overall</t>
        </is>
      </c>
    </row>
    <row r="5">
      <c r="A5" s="26" t="inlineStr">
        <is>
          <t>Days logged</t>
        </is>
      </c>
      <c r="B5" s="18">
        <f>COUNT(Daily!$A$5:$A$7)</f>
        <v/>
      </c>
    </row>
    <row r="6">
      <c r="A6" s="26" t="inlineStr">
        <is>
          <t>Avg calories/day (mid)</t>
        </is>
      </c>
      <c r="B6" s="8">
        <f>IFERROR(AVERAGE(Daily!$D$5:$D$7),0)</f>
        <v/>
      </c>
    </row>
    <row r="7">
      <c r="A7" s="26" t="inlineStr">
        <is>
          <t>Avg protein/day (mid, g)</t>
        </is>
      </c>
      <c r="B7" s="10">
        <f>IFERROR(AVERAGE(Daily!$G$5:$G$7),0)</f>
        <v/>
      </c>
    </row>
    <row r="8">
      <c r="A8" s="26" t="inlineStr">
        <is>
          <t>Avg fat/day (mid, g)</t>
        </is>
      </c>
      <c r="B8" s="10">
        <f>IFERROR(AVERAGE(Daily!$J$5:$J$7),0)</f>
        <v/>
      </c>
    </row>
    <row r="9">
      <c r="A9" s="26" t="inlineStr">
        <is>
          <t>Avg vs calorie target</t>
        </is>
      </c>
      <c r="B9" s="19">
        <f>IFERROR(B6-Targets!$B$16,0)</f>
        <v/>
      </c>
    </row>
    <row r="10">
      <c r="A10" s="26" t="inlineStr">
        <is>
          <t>Avg deficit vs maintenance</t>
        </is>
      </c>
      <c r="B10" s="19">
        <f>IFERROR(Targets!$B$15-B6,0)</f>
        <v/>
      </c>
    </row>
    <row r="11">
      <c r="A11" s="26" t="inlineStr">
        <is>
          <t>Implied loss (kg/week)</t>
        </is>
      </c>
      <c r="B11" s="27">
        <f>IFERROR((Targets!$B$15-B6)*7/Targets!$B$11,0)</f>
        <v/>
      </c>
    </row>
    <row r="12">
      <c r="A12" s="26" t="inlineStr">
        <is>
          <t>Days hitting protein target</t>
        </is>
      </c>
      <c r="B12" s="18">
        <f>COUNTIFS(Daily!$G$5:$G$7,"&gt;="&amp;Targets!$B$20)</f>
        <v/>
      </c>
    </row>
    <row r="13">
      <c r="A13" s="26" t="inlineStr">
        <is>
          <t>Total pending (unconfirmed) items</t>
        </is>
      </c>
      <c r="B13" s="18">
        <f>SUM(Daily!$L$5:$L$7)</f>
        <v/>
      </c>
    </row>
    <row r="15">
      <c r="A15" s="25" t="inlineStr">
        <is>
          <t>Weekly (week starting Monday)</t>
        </is>
      </c>
    </row>
    <row r="16">
      <c r="A16" s="3" t="inlineStr">
        <is>
          <t>Week start</t>
        </is>
      </c>
      <c r="B16" s="3" t="inlineStr">
        <is>
          <t>Week end</t>
        </is>
      </c>
      <c r="C16" s="3" t="inlineStr">
        <is>
          <t>Days logged</t>
        </is>
      </c>
      <c r="D16" s="3" t="inlineStr">
        <is>
          <t>Avg cal/day (mid)</t>
        </is>
      </c>
      <c r="E16" s="3" t="inlineStr">
        <is>
          <t>Avg protein/day (mid, g)</t>
        </is>
      </c>
      <c r="F16" s="3" t="inlineStr">
        <is>
          <t>Avg fat/day (mid, g)</t>
        </is>
      </c>
    </row>
    <row r="17">
      <c r="A17" s="4" t="n">
        <v>46265</v>
      </c>
      <c r="B17" s="4" t="n">
        <v>46271</v>
      </c>
      <c r="C17" s="18">
        <f>COUNTIFS(Daily!$A$5:$A$7,"&gt;="&amp;$A17,Daily!$A$5:$A$7,"&lt;="&amp;$B17)</f>
        <v/>
      </c>
      <c r="D17" s="8">
        <f>IFERROR(AVERAGEIFS(Daily!$D$5:$D$7,Daily!$A$5:$A$7,"&gt;="&amp;$A17,Daily!$A$5:$A$7,"&lt;="&amp;$B17),0)</f>
        <v/>
      </c>
      <c r="E17" s="10">
        <f>IFERROR(AVERAGEIFS(Daily!$G$5:$G$7,Daily!$A$5:$A$7,"&gt;="&amp;$A17,Daily!$A$5:$A$7,"&lt;="&amp;$B17),0)</f>
        <v/>
      </c>
      <c r="F17" s="10">
        <f>IFERROR(AVERAGEIFS(Daily!$J$5:$J$7,Daily!$A$5:$A$7,"&gt;="&amp;$A17,Daily!$A$5:$A$7,"&lt;="&amp;$B17),0)</f>
        <v/>
      </c>
    </row>
    <row r="19">
      <c r="A19" s="25" t="inlineStr">
        <is>
          <t>Monthly</t>
        </is>
      </c>
    </row>
    <row r="20">
      <c r="A20" s="3" t="inlineStr">
        <is>
          <t>Month start</t>
        </is>
      </c>
      <c r="B20" s="3" t="inlineStr">
        <is>
          <t>Month end</t>
        </is>
      </c>
      <c r="C20" s="3" t="inlineStr">
        <is>
          <t>Days logged</t>
        </is>
      </c>
      <c r="D20" s="3" t="inlineStr">
        <is>
          <t>Avg cal/day (mid)</t>
        </is>
      </c>
      <c r="E20" s="3" t="inlineStr">
        <is>
          <t>Avg protein/day (mid, g)</t>
        </is>
      </c>
      <c r="F20" s="3" t="inlineStr">
        <is>
          <t>Avg fat/day (mid, g)</t>
        </is>
      </c>
    </row>
    <row r="21">
      <c r="A21" s="4" t="n">
        <v>46266</v>
      </c>
      <c r="B21" s="4" t="n">
        <v>46295</v>
      </c>
      <c r="C21" s="18">
        <f>COUNTIFS(Daily!$A$5:$A$7,"&gt;="&amp;$A21,Daily!$A$5:$A$7,"&lt;="&amp;$B21)</f>
        <v/>
      </c>
      <c r="D21" s="8">
        <f>IFERROR(AVERAGEIFS(Daily!$D$5:$D$7,Daily!$A$5:$A$7,"&gt;="&amp;$A21,Daily!$A$5:$A$7,"&lt;="&amp;$B21),0)</f>
        <v/>
      </c>
      <c r="E21" s="10">
        <f>IFERROR(AVERAGEIFS(Daily!$G$5:$G$7,Daily!$A$5:$A$7,"&gt;="&amp;$A21,Daily!$A$5:$A$7,"&lt;="&amp;$B21),0)</f>
        <v/>
      </c>
      <c r="F21" s="10">
        <f>IFERROR(AVERAGEIFS(Daily!$J$5:$J$7,Daily!$A$5:$A$7,"&gt;="&amp;$A21,Daily!$A$5:$A$7,"&lt;="&amp;$B21),0)</f>
        <v/>
      </c>
    </row>
    <row r="23">
      <c r="A23" s="24" t="inlineStr">
        <is>
          <t>Averages cover only the days present in the log; a part-logged day (today's dinner still to come) drags its average down.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4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66" customWidth="1" min="3" max="3"/>
  </cols>
  <sheetData>
    <row r="1">
      <c r="A1" s="1" t="inlineStr">
        <is>
          <t>Targets</t>
        </is>
      </c>
    </row>
    <row r="2" ht="42" customHeight="1">
      <c r="A2" s="2" t="inlineStr">
        <is>
          <t>Edit the yellow input cells only. BMR uses Mifflin-St Jeor, the equation recommended for this purpose. Everything below the inputs is a formula, so dropping the weight here re-derives maintenance, the calorie target and the carb allowance automatically.</t>
        </is>
      </c>
    </row>
    <row r="4">
      <c r="A4" s="25" t="inlineStr">
        <is>
          <t>Inputs</t>
        </is>
      </c>
    </row>
    <row r="5">
      <c r="A5" s="26" t="inlineStr">
        <is>
          <t>Weight (kg)</t>
        </is>
      </c>
      <c r="B5" s="16" t="n">
        <v>91.5</v>
      </c>
      <c r="C5" s="28" t="inlineStr">
        <is>
          <t>Source: stated by user, 2026-09-05. Update as it changes.</t>
        </is>
      </c>
    </row>
    <row r="6">
      <c r="A6" s="26" t="inlineStr">
        <is>
          <t>Height (cm)</t>
        </is>
      </c>
      <c r="B6" s="16" t="n">
        <v>162.5</v>
      </c>
      <c r="C6" s="28" t="inlineStr">
        <is>
          <t>Source: stated by user.</t>
        </is>
      </c>
    </row>
    <row r="7">
      <c r="A7" s="26" t="inlineStr">
        <is>
          <t>Age (years)</t>
        </is>
      </c>
      <c r="B7" s="29" t="n">
        <v>33</v>
      </c>
      <c r="C7" s="28" t="inlineStr">
        <is>
          <t>Source: stated by user (turns 33 on 2026-09-15).</t>
        </is>
      </c>
    </row>
    <row r="8">
      <c r="A8" s="26" t="inlineStr">
        <is>
          <t>Sex constant</t>
        </is>
      </c>
      <c r="B8" s="29" t="n">
        <v>5</v>
      </c>
      <c r="C8" s="28" t="inlineStr">
        <is>
          <t>Mifflin-St Jeor term: +5 male, -161 female.</t>
        </is>
      </c>
    </row>
    <row r="9">
      <c r="A9" s="26" t="inlineStr">
        <is>
          <t>Activity multiplier</t>
        </is>
      </c>
      <c r="B9" s="30" t="n">
        <v>1.45</v>
      </c>
      <c r="C9" s="28" t="inlineStr">
        <is>
          <t>1.45 = desk job plus 6 lifting sessions/week. Lifting burns less than cardio-based charts assume; raise it only if the scale says so.</t>
        </is>
      </c>
    </row>
    <row r="10">
      <c r="A10" s="26" t="inlineStr">
        <is>
          <t>Daily deficit (kcal)</t>
        </is>
      </c>
      <c r="B10" s="14" t="n">
        <v>550</v>
      </c>
      <c r="C10" s="28" t="inlineStr">
        <is>
          <t>550/day = 0.5 kg/week. Assumption, not a measurement.</t>
        </is>
      </c>
    </row>
    <row r="11">
      <c r="A11" s="26" t="inlineStr">
        <is>
          <t>kcal per kg of body fat</t>
        </is>
      </c>
      <c r="B11" s="14" t="n">
        <v>7700</v>
      </c>
      <c r="C11" s="28" t="inlineStr">
        <is>
          <t>Standard 7,700 kcal/kg conversion.</t>
        </is>
      </c>
    </row>
    <row r="13">
      <c r="A13" s="25" t="inlineStr">
        <is>
          <t>Derived</t>
        </is>
      </c>
    </row>
    <row r="14">
      <c r="A14" s="26" t="inlineStr">
        <is>
          <t>BMR (Mifflin-St Jeor)</t>
        </is>
      </c>
      <c r="B14" s="8">
        <f>10*B5+6.25*B6-5*B7+B8</f>
        <v/>
      </c>
      <c r="C14" s="28" t="inlineStr">
        <is>
          <t>Resting burn: what the body uses doing nothing.</t>
        </is>
      </c>
    </row>
    <row r="15">
      <c r="A15" s="26" t="inlineStr">
        <is>
          <t>Maintenance (TDEE)</t>
        </is>
      </c>
      <c r="B15" s="8">
        <f>B14*B9</f>
        <v/>
      </c>
      <c r="C15" s="28" t="inlineStr">
        <is>
          <t>Estimate. The scale over 2-3 weeks is the real measurement.</t>
        </is>
      </c>
    </row>
    <row r="16">
      <c r="A16" s="25" t="inlineStr">
        <is>
          <t>CALORIE TARGET</t>
        </is>
      </c>
      <c r="B16" s="31">
        <f>B15-B10</f>
        <v/>
      </c>
      <c r="C16" s="28" t="inlineStr">
        <is>
          <t>The number to eat.</t>
        </is>
      </c>
    </row>
    <row r="17">
      <c r="A17" s="26" t="inlineStr">
        <is>
          <t>Projected loss (kg/week)</t>
        </is>
      </c>
      <c r="B17" s="27">
        <f>B10*7/B11</f>
        <v/>
      </c>
    </row>
    <row r="18">
      <c r="A18" s="26" t="inlineStr">
        <is>
          <t>BMI</t>
        </is>
      </c>
      <c r="B18" s="10">
        <f>B5/(B6/100)^2</f>
        <v/>
      </c>
      <c r="C18" s="28" t="inlineStr">
        <is>
          <t>Worth a GP or dietitian check alongside this plan.</t>
        </is>
      </c>
    </row>
    <row r="20">
      <c r="A20" s="25" t="inlineStr">
        <is>
          <t>Macros at the calorie target</t>
        </is>
      </c>
    </row>
    <row r="21">
      <c r="A21" s="26" t="inlineStr">
        <is>
          <t>Protein target low (g)</t>
        </is>
      </c>
      <c r="B21" s="29" t="n">
        <v>130</v>
      </c>
      <c r="C21" s="28" t="inlineStr">
        <is>
          <t>~2.1 g/kg of estimated lean mass - the level that protects muscle in a deficit while training 6 days.</t>
        </is>
      </c>
    </row>
    <row r="22">
      <c r="A22" s="26" t="inlineStr">
        <is>
          <t>Protein target high (g)</t>
        </is>
      </c>
      <c r="B22" s="29" t="n">
        <v>145</v>
      </c>
    </row>
    <row r="23">
      <c r="A23" s="26" t="inlineStr">
        <is>
          <t>Fat floor (g)</t>
        </is>
      </c>
      <c r="B23" s="29" t="n">
        <v>55</v>
      </c>
      <c r="C23" s="28" t="inlineStr">
        <is>
          <t>~0.6 g/kg. A floor for hormone health, not a goal to hit.</t>
        </is>
      </c>
    </row>
    <row r="24">
      <c r="A24" s="26" t="inlineStr">
        <is>
          <t>Carb allowance (g)</t>
        </is>
      </c>
      <c r="B24" s="18">
        <f>(B16-B21*4-B23*9)/4</f>
        <v/>
      </c>
      <c r="C24" s="28" t="inlineStr">
        <is>
          <t>Whatever is left once protein and the fat floor are paid for. Fuels the PPL work.</t>
        </is>
      </c>
    </row>
  </sheetData>
  <mergeCells count="1"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2" customWidth="1" min="1" max="1"/>
    <col width="9" customWidth="1" min="2" max="2"/>
    <col width="9" customWidth="1" min="3" max="3"/>
    <col width="9" customWidth="1" min="4" max="4"/>
    <col width="14" customWidth="1" min="5" max="5"/>
    <col width="42" customWidth="1" min="6" max="6"/>
  </cols>
  <sheetData>
    <row r="1">
      <c r="A1" s="1" t="inlineStr">
        <is>
          <t>Per-item working estimates</t>
        </is>
      </c>
    </row>
    <row r="2" ht="28" customHeight="1">
      <c r="A2" s="2" t="inlineStr">
        <is>
          <t>Photo-based estimates, kept here so the same item is costed the same way every time. These are assumptions, not measured values - update one and re-cost the meals that use it.</t>
        </is>
      </c>
    </row>
    <row r="4">
      <c r="A4" s="3" t="inlineStr">
        <is>
          <t>Item</t>
        </is>
      </c>
      <c r="B4" s="3" t="inlineStr">
        <is>
          <t>Cal low</t>
        </is>
      </c>
      <c r="C4" s="3" t="inlineStr">
        <is>
          <t>Cal high</t>
        </is>
      </c>
      <c r="D4" s="3" t="inlineStr">
        <is>
          <t>Cal mid</t>
        </is>
      </c>
      <c r="E4" s="3" t="inlineStr">
        <is>
          <t>Protein</t>
        </is>
      </c>
      <c r="F4" s="3" t="inlineStr">
        <is>
          <t>Notes</t>
        </is>
      </c>
    </row>
    <row r="5">
      <c r="A5" s="6" t="inlineStr">
        <is>
          <t>Dosa (plain/crisp)</t>
        </is>
      </c>
      <c r="B5" s="7" t="n">
        <v>180</v>
      </c>
      <c r="C5" s="7" t="n">
        <v>220</v>
      </c>
      <c r="D5" s="8">
        <f>AVERAGE(B5:C5)</f>
        <v/>
      </c>
      <c r="E5" s="5" t="inlineStr">
        <is>
          <t>~3 g each</t>
        </is>
      </c>
      <c r="F5" s="6" t="inlineStr">
        <is>
          <t>Per dosa</t>
        </is>
      </c>
    </row>
    <row r="6">
      <c r="A6" s="6" t="inlineStr">
        <is>
          <t>Dosa (set dosa / appam style)</t>
        </is>
      </c>
      <c r="B6" s="7" t="n">
        <v>120</v>
      </c>
      <c r="C6" s="7" t="n">
        <v>150</v>
      </c>
      <c r="D6" s="8">
        <f>AVERAGE(B6:C6)</f>
        <v/>
      </c>
      <c r="E6" s="5" t="inlineStr">
        <is>
          <t>~3 g each</t>
        </is>
      </c>
      <c r="F6" s="6" t="inlineStr">
        <is>
          <t>Softer/thicker style</t>
        </is>
      </c>
    </row>
    <row r="7">
      <c r="A7" s="6" t="inlineStr">
        <is>
          <t>Sambar (with veg)</t>
        </is>
      </c>
      <c r="B7" s="7" t="n">
        <v>130</v>
      </c>
      <c r="C7" s="7" t="n">
        <v>160</v>
      </c>
      <c r="D7" s="8">
        <f>AVERAGE(B7:C7)</f>
        <v/>
      </c>
      <c r="E7" s="5" t="inlineStr">
        <is>
          <t>~4-6 g</t>
        </is>
      </c>
      <c r="F7" s="6" t="inlineStr">
        <is>
          <t>Per serving</t>
        </is>
      </c>
    </row>
    <row r="8">
      <c r="A8" s="6" t="inlineStr">
        <is>
          <t>Coconut chutney (~2 tbsp)</t>
        </is>
      </c>
      <c r="B8" s="7" t="n">
        <v>90</v>
      </c>
      <c r="C8" s="7" t="n">
        <v>110</v>
      </c>
      <c r="D8" s="8">
        <f>AVERAGE(B8:C8)</f>
        <v/>
      </c>
      <c r="E8" s="5" t="inlineStr">
        <is>
          <t>~1-2 g</t>
        </is>
      </c>
      <c r="F8" s="6" t="inlineStr">
        <is>
          <t>Fat-dense - the usual thing to cut</t>
        </is>
      </c>
    </row>
    <row r="9">
      <c r="A9" s="6" t="inlineStr">
        <is>
          <t>Red/tomato chutney (~2 tbsp)</t>
        </is>
      </c>
      <c r="B9" s="7" t="n">
        <v>40</v>
      </c>
      <c r="C9" s="7" t="n">
        <v>70</v>
      </c>
      <c r="D9" s="8">
        <f>AVERAGE(B9:C9)</f>
        <v/>
      </c>
      <c r="E9" s="5" t="inlineStr">
        <is>
          <t>~1 g</t>
        </is>
      </c>
      <c r="F9" s="6" t="inlineStr"/>
    </row>
    <row r="10">
      <c r="A10" s="6" t="inlineStr">
        <is>
          <t>Chicken biryani (half plate)</t>
        </is>
      </c>
      <c r="B10" s="7" t="n">
        <v>450</v>
      </c>
      <c r="C10" s="7" t="n">
        <v>600</v>
      </c>
      <c r="D10" s="8">
        <f>AVERAGE(B10:C10)</f>
        <v/>
      </c>
      <c r="E10" s="5" t="inlineStr">
        <is>
          <t>~22-30 g</t>
        </is>
      </c>
      <c r="F10" s="6" t="inlineStr">
        <is>
          <t>Rice + 2 pieces</t>
        </is>
      </c>
    </row>
    <row r="11">
      <c r="A11" s="6" t="inlineStr">
        <is>
          <t>Raita (small)</t>
        </is>
      </c>
      <c r="B11" s="7" t="n">
        <v>50</v>
      </c>
      <c r="C11" s="7" t="n">
        <v>80</v>
      </c>
      <c r="D11" s="8">
        <f>AVERAGE(B11:C11)</f>
        <v/>
      </c>
      <c r="E11" s="5" t="inlineStr">
        <is>
          <t>~2-4 g</t>
        </is>
      </c>
      <c r="F11" s="6" t="inlineStr"/>
    </row>
    <row r="12">
      <c r="A12" s="6" t="inlineStr">
        <is>
          <t>Maida porotta</t>
        </is>
      </c>
      <c r="B12" s="7" t="n">
        <v>160</v>
      </c>
      <c r="C12" s="7" t="n">
        <v>250</v>
      </c>
      <c r="D12" s="8">
        <f>AVERAGE(B12:C12)</f>
        <v/>
      </c>
      <c r="E12" s="5" t="inlineStr">
        <is>
          <t>~4-6 g each</t>
        </is>
      </c>
      <c r="F12" s="6" t="inlineStr">
        <is>
          <t>Refined flour + layered oil/ghee</t>
        </is>
      </c>
    </row>
    <row r="13">
      <c r="A13" s="6" t="inlineStr">
        <is>
          <t>Uzhunnu vada / medu vada (1)</t>
        </is>
      </c>
      <c r="B13" s="7" t="n">
        <v>130</v>
      </c>
      <c r="C13" s="7" t="n">
        <v>180</v>
      </c>
      <c r="D13" s="8">
        <f>AVERAGE(B13:C13)</f>
        <v/>
      </c>
      <c r="E13" s="5" t="inlineStr">
        <is>
          <t>~3.5-5 g each</t>
        </is>
      </c>
      <c r="F13" s="6" t="inlineStr">
        <is>
          <t>Deep-fried urad dal - protein-bearing but fat-dense</t>
        </is>
      </c>
    </row>
    <row r="14">
      <c r="A14" s="6" t="inlineStr">
        <is>
          <t>Kadala curry (1 container)</t>
        </is>
      </c>
      <c r="B14" s="7" t="n">
        <v>200</v>
      </c>
      <c r="C14" s="7" t="n">
        <v>300</v>
      </c>
      <c r="D14" s="8">
        <f>AVERAGE(B14:C14)</f>
        <v/>
      </c>
      <c r="E14" s="5" t="inlineStr">
        <is>
          <t>~8-10 g</t>
        </is>
      </c>
      <c r="F14" s="6" t="inlineStr"/>
    </row>
    <row r="15">
      <c r="A15" s="6" t="inlineStr">
        <is>
          <t>Fish fry (1 piece pan-fried)</t>
        </is>
      </c>
      <c r="B15" s="7" t="n">
        <v>150</v>
      </c>
      <c r="C15" s="7" t="n">
        <v>220</v>
      </c>
      <c r="D15" s="8">
        <f>AVERAGE(B15:C15)</f>
        <v/>
      </c>
      <c r="E15" s="5" t="inlineStr">
        <is>
          <t>~15-20 g</t>
        </is>
      </c>
      <c r="F15" s="6" t="inlineStr"/>
    </row>
    <row r="16">
      <c r="A16" s="6" t="inlineStr">
        <is>
          <t>Grilled chicken breast (100 g skinless)</t>
        </is>
      </c>
      <c r="B16" s="7" t="n">
        <v>160</v>
      </c>
      <c r="C16" s="7" t="n">
        <v>180</v>
      </c>
      <c r="D16" s="8">
        <f>AVERAGE(B16:C16)</f>
        <v/>
      </c>
      <c r="E16" s="5" t="inlineStr">
        <is>
          <t>~30-32 g</t>
        </is>
      </c>
      <c r="F16" s="6" t="inlineStr">
        <is>
          <t>Best protein-per-calorie item in this list</t>
        </is>
      </c>
    </row>
    <row r="17">
      <c r="A17" s="6" t="inlineStr">
        <is>
          <t>Grilled chicken breast (150 g skinless)</t>
        </is>
      </c>
      <c r="B17" s="7" t="n">
        <v>240</v>
      </c>
      <c r="C17" s="7" t="n">
        <v>270</v>
      </c>
      <c r="D17" s="8">
        <f>AVERAGE(B17:C17)</f>
        <v/>
      </c>
      <c r="E17" s="5" t="inlineStr">
        <is>
          <t>~45-48 g</t>
        </is>
      </c>
      <c r="F17" s="6" t="inlineStr"/>
    </row>
    <row r="18">
      <c r="A18" s="6" t="inlineStr">
        <is>
          <t>Honest Bowl - Grilled Chicken and Rice Bowl</t>
        </is>
      </c>
      <c r="B18" s="7" t="n">
        <v>550</v>
      </c>
      <c r="C18" s="7" t="n">
        <v>710</v>
      </c>
      <c r="D18" s="8">
        <f>AVERAGE(B18:C18)</f>
        <v/>
      </c>
      <c r="E18" s="5" t="inlineStr">
        <is>
          <t>42-48 g</t>
        </is>
      </c>
      <c r="F18" s="6" t="inlineStr">
        <is>
          <t>Menu states 42 g protein; chicken + jasmine rice + sweet potato. Sauce served separately</t>
        </is>
      </c>
    </row>
    <row r="19">
      <c r="A19" s="6" t="inlineStr">
        <is>
          <t>Brown/mushroom sauce (side pot)</t>
        </is>
      </c>
      <c r="B19" s="7" t="n">
        <v>50</v>
      </c>
      <c r="C19" s="7" t="n">
        <v>120</v>
      </c>
      <c r="D19" s="8">
        <f>AVERAGE(B19:C19)</f>
        <v/>
      </c>
      <c r="E19" s="5" t="inlineStr">
        <is>
          <t>~1-2 g</t>
        </is>
      </c>
      <c r="F19" s="6" t="inlineStr">
        <is>
          <t>Often cream or butter based - the variable in a bowl like this</t>
        </is>
      </c>
    </row>
    <row r="20">
      <c r="A20" s="6" t="inlineStr">
        <is>
          <t>Honest Bowl - Tofu Delight Bowl</t>
        </is>
      </c>
      <c r="B20" s="7" t="n">
        <v>420</v>
      </c>
      <c r="C20" s="7" t="n">
        <v>560</v>
      </c>
      <c r="D20" s="8">
        <f>AVERAGE(B20:C20)</f>
        <v/>
      </c>
      <c r="E20" s="5" t="inlineStr">
        <is>
          <t>~20 g</t>
        </is>
      </c>
      <c r="F20" s="6" t="inlineStr">
        <is>
          <t>Menu states 20 g; jasmine rice + cajun tofu + grilled eggplant. Half the protein of the chicken bowl at the same price</t>
        </is>
      </c>
    </row>
    <row r="21">
      <c r="A21" s="6" t="inlineStr">
        <is>
          <t>Chicken curry (1 takeaway container)</t>
        </is>
      </c>
      <c r="B21" s="7" t="n">
        <v>280</v>
      </c>
      <c r="C21" s="7" t="n">
        <v>420</v>
      </c>
      <c r="D21" s="8">
        <f>AVERAGE(B21:C21)</f>
        <v/>
      </c>
      <c r="E21" s="5" t="inlineStr">
        <is>
          <t>~20-28 g</t>
        </is>
      </c>
      <c r="F21" s="6" t="inlineStr">
        <is>
          <t>Kerala style; oil and coconut carry most of the calories</t>
        </is>
      </c>
    </row>
    <row r="22">
      <c r="A22" s="6" t="inlineStr">
        <is>
          <t>Grilled chicken quarter (skin on)</t>
        </is>
      </c>
      <c r="B22" s="7" t="n">
        <v>250</v>
      </c>
      <c r="C22" s="7" t="n">
        <v>320</v>
      </c>
      <c r="D22" s="8">
        <f>AVERAGE(B22:C22)</f>
        <v/>
      </c>
      <c r="E22" s="5" t="inlineStr">
        <is>
          <t>~28-33 g</t>
        </is>
      </c>
      <c r="F22" s="6" t="inlineStr">
        <is>
          <t>Skin adds ~12-15 g fat over breast</t>
        </is>
      </c>
    </row>
    <row r="23">
      <c r="A23" s="6" t="inlineStr">
        <is>
          <t>Garlic sauce / toum (1 tbsp)</t>
        </is>
      </c>
      <c r="B23" s="7" t="n">
        <v>90</v>
      </c>
      <c r="C23" s="7" t="n">
        <v>110</v>
      </c>
      <c r="D23" s="8">
        <f>AVERAGE(B23:C23)</f>
        <v/>
      </c>
      <c r="E23" s="5" t="inlineStr">
        <is>
          <t>0 g</t>
        </is>
      </c>
      <c r="F23" s="6" t="inlineStr">
        <is>
          <t>Essentially emulsified oil - the hidden cost at a grill</t>
        </is>
      </c>
    </row>
    <row r="24">
      <c r="A24" s="6" t="inlineStr">
        <is>
          <t>Khubz / pita (1 large)</t>
        </is>
      </c>
      <c r="B24" s="7" t="n">
        <v>250</v>
      </c>
      <c r="C24" s="7" t="n">
        <v>300</v>
      </c>
      <c r="D24" s="8">
        <f>AVERAGE(B24:C24)</f>
        <v/>
      </c>
      <c r="E24" s="5" t="inlineStr">
        <is>
          <t>~8-9 g</t>
        </is>
      </c>
      <c r="F24" s="6" t="inlineStr"/>
    </row>
    <row r="25">
      <c r="A25" s="6" t="inlineStr">
        <is>
          <t>Barik/basmati rice (half container cooked)</t>
        </is>
      </c>
      <c r="B25" s="7" t="n">
        <v>200</v>
      </c>
      <c r="C25" s="7" t="n">
        <v>280</v>
      </c>
      <c r="D25" s="8">
        <f>AVERAGE(B25:C25)</f>
        <v/>
      </c>
      <c r="E25" s="5" t="inlineStr">
        <is>
          <t>~4-5 g</t>
        </is>
      </c>
      <c r="F25" s="6" t="inlineStr"/>
    </row>
    <row r="26">
      <c r="A26" s="6" t="inlineStr">
        <is>
          <t>Fresh pineapple juice (350-450 ml)</t>
        </is>
      </c>
      <c r="B26" s="7" t="n">
        <v>175</v>
      </c>
      <c r="C26" s="7" t="n">
        <v>240</v>
      </c>
      <c r="D26" s="8">
        <f>AVERAGE(B26:C26)</f>
        <v/>
      </c>
      <c r="E26" s="5" t="inlineStr">
        <is>
          <t>~1-2 g</t>
        </is>
      </c>
      <c r="F26" s="6" t="inlineStr">
        <is>
          <t>No added sugar but ~35-45 g natural sugar; no fibre; almost no protein</t>
        </is>
      </c>
    </row>
    <row r="27">
      <c r="A27" s="6" t="inlineStr">
        <is>
          <t>Whey scoop (in water)</t>
        </is>
      </c>
      <c r="B27" s="7" t="n">
        <v>100</v>
      </c>
      <c r="C27" s="7" t="n">
        <v>120</v>
      </c>
      <c r="D27" s="8">
        <f>AVERAGE(B27:C27)</f>
        <v/>
      </c>
      <c r="E27" s="5" t="inlineStr">
        <is>
          <t>~20-25 g</t>
        </is>
      </c>
      <c r="F27" s="6" t="inlineStr"/>
    </row>
    <row r="28">
      <c r="A28" s="6" t="inlineStr">
        <is>
          <t>Greek yogurt (200 g plain low-fat)</t>
        </is>
      </c>
      <c r="B28" s="7" t="n">
        <v>120</v>
      </c>
      <c r="C28" s="7" t="n">
        <v>140</v>
      </c>
      <c r="D28" s="8">
        <f>AVERAGE(B28:C28)</f>
        <v/>
      </c>
      <c r="E28" s="5" t="inlineStr">
        <is>
          <t>~18-20 g</t>
        </is>
      </c>
      <c r="F28" s="6" t="inlineStr">
        <is>
          <t>Casein - digests slowly; good overnight</t>
        </is>
      </c>
    </row>
    <row r="29">
      <c r="A29" s="6" t="inlineStr">
        <is>
          <t>Boiled egg (1 large)</t>
        </is>
      </c>
      <c r="B29" s="7" t="n">
        <v>70</v>
      </c>
      <c r="C29" s="7" t="n">
        <v>78</v>
      </c>
      <c r="D29" s="8">
        <f>AVERAGE(B29:C29)</f>
        <v/>
      </c>
      <c r="E29" s="5" t="inlineStr">
        <is>
          <t>~6-6.5 g</t>
        </is>
      </c>
      <c r="F29" s="6" t="inlineStr">
        <is>
          <t>~5 g fat each</t>
        </is>
      </c>
    </row>
    <row r="30">
      <c r="A30" s="6" t="inlineStr">
        <is>
          <t>Paneer (50 g full-fat)</t>
        </is>
      </c>
      <c r="B30" s="7" t="n">
        <v>130</v>
      </c>
      <c r="C30" s="7" t="n">
        <v>150</v>
      </c>
      <c r="D30" s="8">
        <f>AVERAGE(B30:C30)</f>
        <v/>
      </c>
      <c r="E30" s="5" t="inlineStr">
        <is>
          <t>~8-9 g</t>
        </is>
      </c>
      <c r="F30" s="6" t="inlineStr">
        <is>
          <t>Fat-dense for the protein it gives</t>
        </is>
      </c>
    </row>
    <row r="31">
      <c r="A31" s="6" t="inlineStr">
        <is>
          <t>Cucumber (1 medium)</t>
        </is>
      </c>
      <c r="B31" s="7" t="n">
        <v>25</v>
      </c>
      <c r="C31" s="7" t="n">
        <v>30</v>
      </c>
      <c r="D31" s="8">
        <f>AVERAGE(B31:C31)</f>
        <v/>
      </c>
      <c r="E31" s="5" t="inlineStr">
        <is>
          <t>~1.5 g</t>
        </is>
      </c>
      <c r="F31" s="6" t="inlineStr">
        <is>
          <t>Volume with almost no calories</t>
        </is>
      </c>
    </row>
    <row r="32">
      <c r="A32" s="6" t="inlineStr">
        <is>
          <t>Whey scoop (in black coffee no sugar)</t>
        </is>
      </c>
      <c r="B32" s="7" t="n">
        <v>100</v>
      </c>
      <c r="C32" s="7" t="n">
        <v>130</v>
      </c>
      <c r="D32" s="8">
        <f>AVERAGE(B32:C32)</f>
        <v/>
      </c>
      <c r="E32" s="5" t="inlineStr">
        <is>
          <t>~20-25 g</t>
        </is>
      </c>
      <c r="F32" s="6" t="inlineStr"/>
    </row>
    <row r="33">
      <c r="A33" s="6" t="inlineStr">
        <is>
          <t>Cashew/almond biscuit (1)</t>
        </is>
      </c>
      <c r="B33" s="7" t="n">
        <v>38</v>
      </c>
      <c r="C33" s="7" t="n">
        <v>38</v>
      </c>
      <c r="D33" s="8">
        <f>AVERAGE(B33:C33)</f>
        <v/>
      </c>
      <c r="E33" s="5" t="inlineStr">
        <is>
          <t>~0.5 g</t>
        </is>
      </c>
      <c r="F33" s="6" t="inlineStr"/>
    </row>
    <row r="34">
      <c r="A34" s="6" t="inlineStr">
        <is>
          <t>Chocolate bar (~50g standard)</t>
        </is>
      </c>
      <c r="B34" s="7" t="n">
        <v>245</v>
      </c>
      <c r="C34" s="7" t="n">
        <v>250</v>
      </c>
      <c r="D34" s="8">
        <f>AVERAGE(B34:C34)</f>
        <v/>
      </c>
      <c r="E34" s="5" t="inlineStr">
        <is>
          <t>~4 g</t>
        </is>
      </c>
      <c r="F34" s="6" t="inlineStr"/>
    </row>
    <row r="35">
      <c r="A35" s="6" t="inlineStr">
        <is>
          <t>Chocolate bar (70g king-size)</t>
        </is>
      </c>
      <c r="B35" s="7" t="n">
        <v>335</v>
      </c>
      <c r="C35" s="7" t="n">
        <v>335</v>
      </c>
      <c r="D35" s="8">
        <f>AVERAGE(B35:C35)</f>
        <v/>
      </c>
      <c r="E35" s="5" t="inlineStr">
        <is>
          <t>~6 g</t>
        </is>
      </c>
      <c r="F35" s="6" t="inlineStr"/>
    </row>
    <row r="36">
      <c r="A36" s="6" t="inlineStr">
        <is>
          <t>Pre-workout scoop</t>
        </is>
      </c>
      <c r="B36" s="7" t="n">
        <v>5</v>
      </c>
      <c r="C36" s="7" t="n">
        <v>15</v>
      </c>
      <c r="D36" s="8">
        <f>AVERAGE(B36:C36)</f>
        <v/>
      </c>
      <c r="E36" s="5" t="inlineStr">
        <is>
          <t>0 g</t>
        </is>
      </c>
      <c r="F36" s="6" t="inlineStr">
        <is>
          <t>Negligible</t>
        </is>
      </c>
    </row>
  </sheetData>
  <mergeCells count="1">
    <mergeCell ref="A2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2026-09-06T10:15:08Z</dcterms:created>
  <dcterms:modified xsi:type="dcterms:W3CDTF">2026-09-06T10:15:08Z</dcterms:modified>
</cp:coreProperties>
</file>