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asurements" sheetId="4" state="visible" r:id="rId4"/>
    <sheet name="Mess Plan" sheetId="5" state="visible" r:id="rId5"/>
    <sheet name="Trends" sheetId="6" state="visible" r:id="rId6"/>
    <sheet name="Targets" sheetId="7" state="visible" r:id="rId7"/>
    <sheet name="Reference" sheetId="8" state="visible" r:id="rId8"/>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40"/>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row r="30">
      <c r="A30" s="4" t="n">
        <v>46273</v>
      </c>
      <c r="B30" s="5" t="inlineStr">
        <is>
          <t>Breakfast</t>
        </is>
      </c>
      <c r="C30" s="6" t="inlineStr">
        <is>
          <t>Puttu + kadala curry</t>
        </is>
      </c>
      <c r="D30" s="7" t="n">
        <v>420</v>
      </c>
      <c r="E30" s="7" t="n">
        <v>600</v>
      </c>
      <c r="F30" s="8">
        <f>AVERAGE(D30:E30)</f>
        <v/>
      </c>
      <c r="G30" s="9" t="n">
        <v>12</v>
      </c>
      <c r="H30" s="9" t="n">
        <v>16</v>
      </c>
      <c r="I30" s="10">
        <f>AVERAGE(G30:H30)</f>
        <v/>
      </c>
      <c r="J30" s="9" t="n">
        <v>12</v>
      </c>
      <c r="K30" s="9" t="n">
        <v>19</v>
      </c>
      <c r="L30" s="10">
        <f>AVERAGE(J30:K30)</f>
        <v/>
      </c>
      <c r="M30" s="5" t="inlineStr">
        <is>
          <t>logged</t>
        </is>
      </c>
      <c r="N30" s="6" t="inlineStr">
        <is>
          <t>Mess served puttu rather than the Tuesday masala dosa on the menu</t>
        </is>
      </c>
    </row>
    <row r="31">
      <c r="A31" s="4" t="n">
        <v>46273</v>
      </c>
      <c r="B31" s="5" t="inlineStr">
        <is>
          <t>Dinner</t>
        </is>
      </c>
      <c r="C31" s="6" t="inlineStr">
        <is>
          <t>2 chapati + green peas curry + 2 boiled eggs</t>
        </is>
      </c>
      <c r="D31" s="7" t="n">
        <v>520</v>
      </c>
      <c r="E31" s="7" t="n">
        <v>676</v>
      </c>
      <c r="F31" s="8">
        <f>AVERAGE(D31:E31)</f>
        <v/>
      </c>
      <c r="G31" s="9" t="n">
        <v>26</v>
      </c>
      <c r="H31" s="9" t="n">
        <v>33</v>
      </c>
      <c r="I31" s="10">
        <f>AVERAGE(G31:H31)</f>
        <v/>
      </c>
      <c r="J31" s="9" t="n">
        <v>22</v>
      </c>
      <c r="K31" s="9" t="n">
        <v>33</v>
      </c>
      <c r="L31" s="10">
        <f>AVERAGE(J31:K31)</f>
        <v/>
      </c>
      <c r="M31" s="5" t="inlineStr">
        <is>
          <t>logged</t>
        </is>
      </c>
      <c r="N31" s="6" t="inlineStr">
        <is>
          <t>Eggs added to the mess dinner as the protein anchor</t>
        </is>
      </c>
    </row>
    <row r="32">
      <c r="A32" s="4" t="n">
        <v>46273</v>
      </c>
      <c r="B32" s="5" t="inlineStr">
        <is>
          <t>Lunch</t>
        </is>
      </c>
      <c r="C32" s="6" t="inlineStr">
        <is>
          <t>2 eggs fried without oil + half container ghee rice + small container chicken curry + curd salad</t>
        </is>
      </c>
      <c r="D32" s="7" t="n">
        <v>565</v>
      </c>
      <c r="E32" s="7" t="n">
        <v>786</v>
      </c>
      <c r="F32" s="8">
        <f>AVERAGE(D32:E32)</f>
        <v/>
      </c>
      <c r="G32" s="9" t="n">
        <v>35</v>
      </c>
      <c r="H32" s="9" t="n">
        <v>45</v>
      </c>
      <c r="I32" s="10">
        <f>AVERAGE(G32:H32)</f>
        <v/>
      </c>
      <c r="J32" s="9" t="n">
        <v>29</v>
      </c>
      <c r="K32" s="9" t="n">
        <v>44</v>
      </c>
      <c r="L32" s="10">
        <f>AVERAGE(J32:K32)</f>
        <v/>
      </c>
      <c r="M32" s="5" t="inlineStr">
        <is>
          <t>logged</t>
        </is>
      </c>
      <c r="N32" s="6" t="inlineStr">
        <is>
          <t>Eggs dry-fried with pepper and salt; rice halved by the user</t>
        </is>
      </c>
    </row>
    <row r="33">
      <c r="A33" s="4" t="n">
        <v>46273</v>
      </c>
      <c r="B33" s="5" t="inlineStr">
        <is>
          <t>Snack</t>
        </is>
      </c>
      <c r="C33" s="6" t="inlineStr">
        <is>
          <t>Black coffee + 1 whey scoop</t>
        </is>
      </c>
      <c r="D33" s="7" t="n">
        <v>100</v>
      </c>
      <c r="E33" s="7" t="n">
        <v>130</v>
      </c>
      <c r="F33" s="8">
        <f>AVERAGE(D33:E33)</f>
        <v/>
      </c>
      <c r="G33" s="9" t="n">
        <v>20</v>
      </c>
      <c r="H33" s="9" t="n">
        <v>25</v>
      </c>
      <c r="I33" s="10">
        <f>AVERAGE(G33:H33)</f>
        <v/>
      </c>
      <c r="J33" s="9" t="n">
        <v>1</v>
      </c>
      <c r="K33" s="9" t="n">
        <v>3</v>
      </c>
      <c r="L33" s="10">
        <f>AVERAGE(J33:K33)</f>
        <v/>
      </c>
      <c r="M33" s="5" t="inlineStr">
        <is>
          <t>logged</t>
        </is>
      </c>
      <c r="N33" s="6" t="inlineStr">
        <is>
          <t>Scoop 1 of the 3 planned for today</t>
        </is>
      </c>
    </row>
    <row r="34">
      <c r="A34" s="4" t="n">
        <v>46273</v>
      </c>
      <c r="B34" s="5" t="inlineStr">
        <is>
          <t>Snack</t>
        </is>
      </c>
      <c r="C34" s="6" t="inlineStr">
        <is>
          <t>Coca-Cola Zero Sugar (245 ml)</t>
        </is>
      </c>
      <c r="D34" s="7" t="n">
        <v>0</v>
      </c>
      <c r="E34" s="7" t="n">
        <v>2</v>
      </c>
      <c r="F34" s="8">
        <f>AVERAGE(D34:E34)</f>
        <v/>
      </c>
      <c r="G34" s="9" t="n">
        <v>0</v>
      </c>
      <c r="H34" s="9" t="n">
        <v>0</v>
      </c>
      <c r="I34" s="10">
        <f>AVERAGE(G34:H34)</f>
        <v/>
      </c>
      <c r="J34" s="9" t="n">
        <v>0</v>
      </c>
      <c r="K34" s="9" t="n">
        <v>0</v>
      </c>
      <c r="L34" s="10">
        <f>AVERAGE(J34:K34)</f>
        <v/>
      </c>
      <c r="M34" s="5" t="inlineStr">
        <is>
          <t>logged</t>
        </is>
      </c>
      <c r="N34" s="6" t="inlineStr">
        <is>
          <t>Genuinely zero calorie</t>
        </is>
      </c>
    </row>
    <row r="35">
      <c r="A35" s="4" t="n">
        <v>46273</v>
      </c>
      <c r="B35" s="5" t="inlineStr">
        <is>
          <t>Snack</t>
        </is>
      </c>
      <c r="C35" s="6" t="inlineStr">
        <is>
          <t>1 whey scoop + water</t>
        </is>
      </c>
      <c r="D35" s="7" t="n">
        <v>100</v>
      </c>
      <c r="E35" s="7" t="n">
        <v>120</v>
      </c>
      <c r="F35" s="8">
        <f>AVERAGE(D35:E35)</f>
        <v/>
      </c>
      <c r="G35" s="9" t="n">
        <v>20</v>
      </c>
      <c r="H35" s="9" t="n">
        <v>25</v>
      </c>
      <c r="I35" s="10">
        <f>AVERAGE(G35:H35)</f>
        <v/>
      </c>
      <c r="J35" s="9" t="n">
        <v>1</v>
      </c>
      <c r="K35" s="9" t="n">
        <v>2</v>
      </c>
      <c r="L35" s="10">
        <f>AVERAGE(J35:K35)</f>
        <v/>
      </c>
      <c r="M35" s="5" t="inlineStr">
        <is>
          <t>logged</t>
        </is>
      </c>
      <c r="N35" s="6" t="inlineStr">
        <is>
          <t>Closing scoop for the day</t>
        </is>
      </c>
    </row>
    <row r="36">
      <c r="A36" s="4" t="n">
        <v>46274</v>
      </c>
      <c r="B36" s="5" t="inlineStr">
        <is>
          <t>Breakfast</t>
        </is>
      </c>
      <c r="C36" s="6" t="inlineStr">
        <is>
          <t>1 dosa + egg roast (1 whole egg)</t>
        </is>
      </c>
      <c r="D36" s="7" t="n">
        <v>360</v>
      </c>
      <c r="E36" s="7" t="n">
        <v>490</v>
      </c>
      <c r="F36" s="8">
        <f>AVERAGE(D36:E36)</f>
        <v/>
      </c>
      <c r="G36" s="9" t="n">
        <v>10</v>
      </c>
      <c r="H36" s="9" t="n">
        <v>14</v>
      </c>
      <c r="I36" s="10">
        <f>AVERAGE(G36:H36)</f>
        <v/>
      </c>
      <c r="J36" s="9" t="n">
        <v>17</v>
      </c>
      <c r="K36" s="9" t="n">
        <v>28</v>
      </c>
      <c r="L36" s="10">
        <f>AVERAGE(J36:K36)</f>
        <v/>
      </c>
      <c r="M36" s="5" t="inlineStr">
        <is>
          <t>logged</t>
        </is>
      </c>
      <c r="N36" s="6" t="inlineStr">
        <is>
          <t>Took a dosa instead of the menu's poratta - the Wednesday cut</t>
        </is>
      </c>
    </row>
    <row r="37">
      <c r="A37" s="4" t="n">
        <v>46274</v>
      </c>
      <c r="B37" s="5" t="inlineStr">
        <is>
          <t>Lunch</t>
        </is>
      </c>
      <c r="C37" s="6" t="inlineStr">
        <is>
          <t>Mess meals plate (rice halved) + 2 boiled eggs + 1-egg omelette + veg curry, coconut thoran, kadala-veg thoran, chutney</t>
        </is>
      </c>
      <c r="D37" s="7" t="n">
        <v>760</v>
      </c>
      <c r="E37" s="7" t="n">
        <v>1060</v>
      </c>
      <c r="F37" s="8">
        <f>AVERAGE(D37:E37)</f>
        <v/>
      </c>
      <c r="G37" s="9" t="n">
        <v>33</v>
      </c>
      <c r="H37" s="9" t="n">
        <v>44</v>
      </c>
      <c r="I37" s="10">
        <f>AVERAGE(G37:H37)</f>
        <v/>
      </c>
      <c r="J37" s="9" t="n">
        <v>31</v>
      </c>
      <c r="K37" s="9" t="n">
        <v>48</v>
      </c>
      <c r="L37" s="10">
        <f>AVERAGE(J37:K37)</f>
        <v/>
      </c>
      <c r="M37" s="5" t="inlineStr">
        <is>
          <t>logged</t>
        </is>
      </c>
      <c r="N37" s="6" t="inlineStr">
        <is>
          <t>Both levers again - rice halved and three eggs' worth of protein added. Fat nudged up for the coconut thoran after a clearer photo</t>
        </is>
      </c>
    </row>
    <row r="38">
      <c r="A38" s="4" t="n">
        <v>46274</v>
      </c>
      <c r="B38" s="5" t="inlineStr">
        <is>
          <t>Snack</t>
        </is>
      </c>
      <c r="C38" s="6" t="inlineStr">
        <is>
          <t>Black coffee + 1 whey scoop</t>
        </is>
      </c>
      <c r="D38" s="7" t="n">
        <v>100</v>
      </c>
      <c r="E38" s="7" t="n">
        <v>130</v>
      </c>
      <c r="F38" s="8">
        <f>AVERAGE(D38:E38)</f>
        <v/>
      </c>
      <c r="G38" s="9" t="n">
        <v>20</v>
      </c>
      <c r="H38" s="9" t="n">
        <v>25</v>
      </c>
      <c r="I38" s="10">
        <f>AVERAGE(G38:H38)</f>
        <v/>
      </c>
      <c r="J38" s="9" t="n">
        <v>1</v>
      </c>
      <c r="K38" s="9" t="n">
        <v>3</v>
      </c>
      <c r="L38" s="10">
        <f>AVERAGE(J38:K38)</f>
        <v/>
      </c>
      <c r="M38" s="5" t="inlineStr">
        <is>
          <t>logged</t>
        </is>
      </c>
      <c r="N38" s="6" t="inlineStr">
        <is>
          <t>Scoop 1 of the 3 planned for today</t>
        </is>
      </c>
    </row>
    <row r="39">
      <c r="A39" s="4" t="n">
        <v>46274</v>
      </c>
      <c r="B39" s="5" t="inlineStr">
        <is>
          <t>Snack</t>
        </is>
      </c>
      <c r="C39" s="6" t="inlineStr">
        <is>
          <t>Black coffee + 1 whey scoop</t>
        </is>
      </c>
      <c r="D39" s="7" t="n">
        <v>100</v>
      </c>
      <c r="E39" s="7" t="n">
        <v>130</v>
      </c>
      <c r="F39" s="8">
        <f>AVERAGE(D39:E39)</f>
        <v/>
      </c>
      <c r="G39" s="9" t="n">
        <v>20</v>
      </c>
      <c r="H39" s="9" t="n">
        <v>25</v>
      </c>
      <c r="I39" s="10">
        <f>AVERAGE(G39:H39)</f>
        <v/>
      </c>
      <c r="J39" s="9" t="n">
        <v>1</v>
      </c>
      <c r="K39" s="9" t="n">
        <v>3</v>
      </c>
      <c r="L39" s="10">
        <f>AVERAGE(J39:K39)</f>
        <v/>
      </c>
      <c r="M39" s="5" t="inlineStr">
        <is>
          <t>logged</t>
        </is>
      </c>
      <c r="N39" s="6" t="inlineStr">
        <is>
          <t>Scoop 2</t>
        </is>
      </c>
    </row>
    <row r="40">
      <c r="A40" s="4" t="n">
        <v>46274</v>
      </c>
      <c r="B40" s="5" t="inlineStr">
        <is>
          <t>Snack</t>
        </is>
      </c>
      <c r="C40" s="6" t="inlineStr">
        <is>
          <t>2 boiled eggs</t>
        </is>
      </c>
      <c r="D40" s="7" t="n">
        <v>140</v>
      </c>
      <c r="E40" s="7" t="n">
        <v>156</v>
      </c>
      <c r="F40" s="8">
        <f>AVERAGE(D40:E40)</f>
        <v/>
      </c>
      <c r="G40" s="9" t="n">
        <v>12</v>
      </c>
      <c r="H40" s="9" t="n">
        <v>13</v>
      </c>
      <c r="I40" s="10">
        <f>AVERAGE(G40:H40)</f>
        <v/>
      </c>
      <c r="J40" s="9" t="n">
        <v>10</v>
      </c>
      <c r="K40" s="9" t="n">
        <v>11</v>
      </c>
      <c r="L40" s="10">
        <f>AVERAGE(J40:K40)</f>
        <v/>
      </c>
      <c r="M40" s="5" t="inlineStr">
        <is>
          <t>logged</t>
        </is>
      </c>
      <c r="N40" s="6" t="inlineStr">
        <is>
          <t>Eggs 5 and 6 of the day</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0"/>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SUMIFS(Meals!$D$5:$D$40,Meals!$A$5:$A$40,$A5,Meals!$M$5:$M$40,"logged")</f>
        <v/>
      </c>
      <c r="C5" s="8">
        <f>SUMIFS(Meals!$E$5:$E$40,Meals!$A$5:$A$40,$A5,Meals!$M$5:$M$40,"logged")</f>
        <v/>
      </c>
      <c r="D5" s="8">
        <f>AVERAGE(B5:C5)</f>
        <v/>
      </c>
      <c r="E5" s="10">
        <f>SUMIFS(Meals!$G$5:$G$40,Meals!$A$5:$A$40,$A5,Meals!$M$5:$M$40,"logged")</f>
        <v/>
      </c>
      <c r="F5" s="10">
        <f>SUMIFS(Meals!$H$5:$H$40,Meals!$A$5:$A$40,$A5,Meals!$M$5:$M$40,"logged")</f>
        <v/>
      </c>
      <c r="G5" s="10">
        <f>AVERAGE(E5:F5)</f>
        <v/>
      </c>
      <c r="H5" s="10">
        <f>SUMIFS(Meals!$J$5:$J$40,Meals!$A$5:$A$40,$A5,Meals!$M$5:$M$40,"logged")</f>
        <v/>
      </c>
      <c r="I5" s="10">
        <f>SUMIFS(Meals!$K$5:$K$40,Meals!$A$5:$A$40,$A5,Meals!$M$5:$M$40,"logged")</f>
        <v/>
      </c>
      <c r="J5" s="10">
        <f>AVERAGE(H5:I5)</f>
        <v/>
      </c>
      <c r="K5" s="18">
        <f>COUNTIFS(Meals!$A$5:$A$40,$A5,Meals!$M$5:$M$40,"logged")</f>
        <v/>
      </c>
      <c r="L5" s="18">
        <f>COUNTIFS(Meals!$A$5:$A$40,$A5,Meals!$M$5:$M$40,"pending")</f>
        <v/>
      </c>
      <c r="M5" s="19">
        <f>D5-Targets!$B$16</f>
        <v/>
      </c>
    </row>
    <row r="6">
      <c r="A6" s="20" t="n">
        <v>46270</v>
      </c>
      <c r="B6" s="21">
        <f>SUMIFS(Meals!$D$5:$D$40,Meals!$A$5:$A$40,$A6,Meals!$M$5:$M$40,"logged")</f>
        <v/>
      </c>
      <c r="C6" s="21">
        <f>SUMIFS(Meals!$E$5:$E$40,Meals!$A$5:$A$40,$A6,Meals!$M$5:$M$40,"logged")</f>
        <v/>
      </c>
      <c r="D6" s="21">
        <f>AVERAGE(B6:C6)</f>
        <v/>
      </c>
      <c r="E6" s="22">
        <f>SUMIFS(Meals!$G$5:$G$40,Meals!$A$5:$A$40,$A6,Meals!$M$5:$M$40,"logged")</f>
        <v/>
      </c>
      <c r="F6" s="22">
        <f>SUMIFS(Meals!$H$5:$H$40,Meals!$A$5:$A$40,$A6,Meals!$M$5:$M$40,"logged")</f>
        <v/>
      </c>
      <c r="G6" s="22">
        <f>AVERAGE(E6:F6)</f>
        <v/>
      </c>
      <c r="H6" s="22">
        <f>SUMIFS(Meals!$J$5:$J$40,Meals!$A$5:$A$40,$A6,Meals!$M$5:$M$40,"logged")</f>
        <v/>
      </c>
      <c r="I6" s="22">
        <f>SUMIFS(Meals!$K$5:$K$40,Meals!$A$5:$A$40,$A6,Meals!$M$5:$M$40,"logged")</f>
        <v/>
      </c>
      <c r="J6" s="22">
        <f>AVERAGE(H6:I6)</f>
        <v/>
      </c>
      <c r="K6" s="20">
        <f>COUNTIFS(Meals!$A$5:$A$40,$A6,Meals!$M$5:$M$40,"logged")</f>
        <v/>
      </c>
      <c r="L6" s="20">
        <f>COUNTIFS(Meals!$A$5:$A$40,$A6,Meals!$M$5:$M$40,"pending")</f>
        <v/>
      </c>
      <c r="M6" s="23">
        <f>D6-Targets!$B$16</f>
        <v/>
      </c>
    </row>
    <row r="7">
      <c r="A7" s="18" t="n">
        <v>46271</v>
      </c>
      <c r="B7" s="8">
        <f>SUMIFS(Meals!$D$5:$D$40,Meals!$A$5:$A$40,$A7,Meals!$M$5:$M$40,"logged")</f>
        <v/>
      </c>
      <c r="C7" s="8">
        <f>SUMIFS(Meals!$E$5:$E$40,Meals!$A$5:$A$40,$A7,Meals!$M$5:$M$40,"logged")</f>
        <v/>
      </c>
      <c r="D7" s="8">
        <f>AVERAGE(B7:C7)</f>
        <v/>
      </c>
      <c r="E7" s="10">
        <f>SUMIFS(Meals!$G$5:$G$40,Meals!$A$5:$A$40,$A7,Meals!$M$5:$M$40,"logged")</f>
        <v/>
      </c>
      <c r="F7" s="10">
        <f>SUMIFS(Meals!$H$5:$H$40,Meals!$A$5:$A$40,$A7,Meals!$M$5:$M$40,"logged")</f>
        <v/>
      </c>
      <c r="G7" s="10">
        <f>AVERAGE(E7:F7)</f>
        <v/>
      </c>
      <c r="H7" s="10">
        <f>SUMIFS(Meals!$J$5:$J$40,Meals!$A$5:$A$40,$A7,Meals!$M$5:$M$40,"logged")</f>
        <v/>
      </c>
      <c r="I7" s="10">
        <f>SUMIFS(Meals!$K$5:$K$40,Meals!$A$5:$A$40,$A7,Meals!$M$5:$M$40,"logged")</f>
        <v/>
      </c>
      <c r="J7" s="10">
        <f>AVERAGE(H7:I7)</f>
        <v/>
      </c>
      <c r="K7" s="18">
        <f>COUNTIFS(Meals!$A$5:$A$40,$A7,Meals!$M$5:$M$40,"logged")</f>
        <v/>
      </c>
      <c r="L7" s="18">
        <f>COUNTIFS(Meals!$A$5:$A$40,$A7,Meals!$M$5:$M$40,"pending")</f>
        <v/>
      </c>
      <c r="M7" s="19">
        <f>D7-Targets!$B$16</f>
        <v/>
      </c>
    </row>
    <row r="8">
      <c r="A8" s="20" t="n">
        <v>46272</v>
      </c>
      <c r="B8" s="21">
        <f>SUMIFS(Meals!$D$5:$D$40,Meals!$A$5:$A$40,$A8,Meals!$M$5:$M$40,"logged")</f>
        <v/>
      </c>
      <c r="C8" s="21">
        <f>SUMIFS(Meals!$E$5:$E$40,Meals!$A$5:$A$40,$A8,Meals!$M$5:$M$40,"logged")</f>
        <v/>
      </c>
      <c r="D8" s="21">
        <f>AVERAGE(B8:C8)</f>
        <v/>
      </c>
      <c r="E8" s="22">
        <f>SUMIFS(Meals!$G$5:$G$40,Meals!$A$5:$A$40,$A8,Meals!$M$5:$M$40,"logged")</f>
        <v/>
      </c>
      <c r="F8" s="22">
        <f>SUMIFS(Meals!$H$5:$H$40,Meals!$A$5:$A$40,$A8,Meals!$M$5:$M$40,"logged")</f>
        <v/>
      </c>
      <c r="G8" s="22">
        <f>AVERAGE(E8:F8)</f>
        <v/>
      </c>
      <c r="H8" s="22">
        <f>SUMIFS(Meals!$J$5:$J$40,Meals!$A$5:$A$40,$A8,Meals!$M$5:$M$40,"logged")</f>
        <v/>
      </c>
      <c r="I8" s="22">
        <f>SUMIFS(Meals!$K$5:$K$40,Meals!$A$5:$A$40,$A8,Meals!$M$5:$M$40,"logged")</f>
        <v/>
      </c>
      <c r="J8" s="22">
        <f>AVERAGE(H8:I8)</f>
        <v/>
      </c>
      <c r="K8" s="20">
        <f>COUNTIFS(Meals!$A$5:$A$40,$A8,Meals!$M$5:$M$40,"logged")</f>
        <v/>
      </c>
      <c r="L8" s="20">
        <f>COUNTIFS(Meals!$A$5:$A$40,$A8,Meals!$M$5:$M$40,"pending")</f>
        <v/>
      </c>
      <c r="M8" s="23">
        <f>D8-Targets!$B$16</f>
        <v/>
      </c>
    </row>
    <row r="9">
      <c r="A9" s="18" t="n">
        <v>46273</v>
      </c>
      <c r="B9" s="8">
        <f>SUMIFS(Meals!$D$5:$D$40,Meals!$A$5:$A$40,$A9,Meals!$M$5:$M$40,"logged")</f>
        <v/>
      </c>
      <c r="C9" s="8">
        <f>SUMIFS(Meals!$E$5:$E$40,Meals!$A$5:$A$40,$A9,Meals!$M$5:$M$40,"logged")</f>
        <v/>
      </c>
      <c r="D9" s="8">
        <f>AVERAGE(B9:C9)</f>
        <v/>
      </c>
      <c r="E9" s="10">
        <f>SUMIFS(Meals!$G$5:$G$40,Meals!$A$5:$A$40,$A9,Meals!$M$5:$M$40,"logged")</f>
        <v/>
      </c>
      <c r="F9" s="10">
        <f>SUMIFS(Meals!$H$5:$H$40,Meals!$A$5:$A$40,$A9,Meals!$M$5:$M$40,"logged")</f>
        <v/>
      </c>
      <c r="G9" s="10">
        <f>AVERAGE(E9:F9)</f>
        <v/>
      </c>
      <c r="H9" s="10">
        <f>SUMIFS(Meals!$J$5:$J$40,Meals!$A$5:$A$40,$A9,Meals!$M$5:$M$40,"logged")</f>
        <v/>
      </c>
      <c r="I9" s="10">
        <f>SUMIFS(Meals!$K$5:$K$40,Meals!$A$5:$A$40,$A9,Meals!$M$5:$M$40,"logged")</f>
        <v/>
      </c>
      <c r="J9" s="10">
        <f>AVERAGE(H9:I9)</f>
        <v/>
      </c>
      <c r="K9" s="18">
        <f>COUNTIFS(Meals!$A$5:$A$40,$A9,Meals!$M$5:$M$40,"logged")</f>
        <v/>
      </c>
      <c r="L9" s="18">
        <f>COUNTIFS(Meals!$A$5:$A$40,$A9,Meals!$M$5:$M$40,"pending")</f>
        <v/>
      </c>
      <c r="M9" s="19">
        <f>D9-Targets!$B$16</f>
        <v/>
      </c>
    </row>
    <row r="10">
      <c r="A10" s="20" t="n">
        <v>46274</v>
      </c>
      <c r="B10" s="21">
        <f>SUMIFS(Meals!$D$5:$D$40,Meals!$A$5:$A$40,$A10,Meals!$M$5:$M$40,"logged")</f>
        <v/>
      </c>
      <c r="C10" s="21">
        <f>SUMIFS(Meals!$E$5:$E$40,Meals!$A$5:$A$40,$A10,Meals!$M$5:$M$40,"logged")</f>
        <v/>
      </c>
      <c r="D10" s="21">
        <f>AVERAGE(B10:C10)</f>
        <v/>
      </c>
      <c r="E10" s="22">
        <f>SUMIFS(Meals!$G$5:$G$40,Meals!$A$5:$A$40,$A10,Meals!$M$5:$M$40,"logged")</f>
        <v/>
      </c>
      <c r="F10" s="22">
        <f>SUMIFS(Meals!$H$5:$H$40,Meals!$A$5:$A$40,$A10,Meals!$M$5:$M$40,"logged")</f>
        <v/>
      </c>
      <c r="G10" s="22">
        <f>AVERAGE(E10:F10)</f>
        <v/>
      </c>
      <c r="H10" s="22">
        <f>SUMIFS(Meals!$J$5:$J$40,Meals!$A$5:$A$40,$A10,Meals!$M$5:$M$40,"logged")</f>
        <v/>
      </c>
      <c r="I10" s="22">
        <f>SUMIFS(Meals!$K$5:$K$40,Meals!$A$5:$A$40,$A10,Meals!$M$5:$M$40,"logged")</f>
        <v/>
      </c>
      <c r="J10" s="22">
        <f>AVERAGE(H10:I10)</f>
        <v/>
      </c>
      <c r="K10" s="20">
        <f>COUNTIFS(Meals!$A$5:$A$40,$A10,Meals!$M$5:$M$40,"logged")</f>
        <v/>
      </c>
      <c r="L10" s="20">
        <f>COUNTIFS(Meals!$A$5:$A$40,$A10,Meals!$M$5:$M$40,"pending")</f>
        <v/>
      </c>
      <c r="M10" s="23">
        <f>D10-Targets!$B$16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9"/>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7">
      <c r="A7" s="4" t="n">
        <v>46274</v>
      </c>
      <c r="B7" s="24" t="n">
        <v>90.3</v>
      </c>
      <c r="C7" s="25">
        <f>B7-B6</f>
        <v/>
      </c>
      <c r="D7" s="25">
        <f>B7-$B$5</f>
        <v/>
      </c>
      <c r="E7" s="26">
        <f>AVERAGE(B5:B7)</f>
        <v/>
      </c>
      <c r="F7" s="6" t="inlineStr">
        <is>
          <t>Morning weigh-in</t>
        </is>
      </c>
    </row>
    <row r="9">
      <c r="A9"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
  <sheetViews>
    <sheetView showGridLines="0" workbookViewId="0">
      <pane ySplit="4" topLeftCell="A5" activePane="bottomLeft" state="frozen"/>
      <selection pane="bottomLeft" activeCell="A1" sqref="A1"/>
    </sheetView>
  </sheetViews>
  <sheetFormatPr baseColWidth="8" defaultRowHeight="15"/>
  <cols>
    <col width="12" customWidth="1" min="1" max="1"/>
    <col width="11" customWidth="1" min="2" max="2"/>
    <col width="12" customWidth="1" min="3" max="3"/>
    <col width="11" customWidth="1" min="4" max="4"/>
    <col width="9" customWidth="1" min="5" max="5"/>
    <col width="9" customWidth="1" min="6" max="6"/>
    <col width="9" customWidth="1" min="7" max="7"/>
    <col width="9" customWidth="1" min="8" max="8"/>
    <col width="12" customWidth="1" min="9" max="9"/>
    <col width="11" customWidth="1" min="10" max="10"/>
    <col width="40" customWidth="1" min="11" max="11"/>
  </cols>
  <sheetData>
    <row r="1">
      <c r="A1" s="1" t="inlineStr">
        <is>
          <t>Measurements</t>
        </is>
      </c>
    </row>
    <row r="2" ht="42" customHeight="1">
      <c r="A2" s="2" t="inlineStr">
        <is>
          <t>Measure cold, same time of day, same spot, relaxed - arm at mid-bicep, waist at the navel. Fortnightly is enough. What matters is not any single number but waist falling while arm circumference holds: that is fat leaving and muscle staying, which the scale alone cannot show.</t>
        </is>
      </c>
    </row>
    <row r="4">
      <c r="A4" s="3" t="inlineStr">
        <is>
          <t>Date</t>
        </is>
      </c>
      <c r="B4" s="3" t="inlineStr">
        <is>
          <t>Waist (cm)</t>
        </is>
      </c>
      <c r="C4" s="3" t="inlineStr">
        <is>
          <t>Arm relaxed</t>
        </is>
      </c>
      <c r="D4" s="3" t="inlineStr">
        <is>
          <t>Arm flexed</t>
        </is>
      </c>
      <c r="E4" s="3" t="inlineStr">
        <is>
          <t>Chest</t>
        </is>
      </c>
      <c r="F4" s="3" t="inlineStr">
        <is>
          <t>Hips</t>
        </is>
      </c>
      <c r="G4" s="3" t="inlineStr">
        <is>
          <t>Thigh</t>
        </is>
      </c>
      <c r="H4" s="3" t="inlineStr">
        <is>
          <t>Calf</t>
        </is>
      </c>
      <c r="I4" s="3" t="inlineStr">
        <is>
          <t>Waist change</t>
        </is>
      </c>
      <c r="J4" s="3" t="inlineStr">
        <is>
          <t>Arm change</t>
        </is>
      </c>
      <c r="K4" s="3" t="inlineStr">
        <is>
          <t>Note</t>
        </is>
      </c>
    </row>
    <row r="5">
      <c r="A5" s="27" t="inlineStr">
        <is>
          <t>No measurements yet - add a row to measurements.csv.</t>
        </is>
      </c>
    </row>
  </sheetData>
  <mergeCells count="1">
    <mergeCell ref="A2:K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4"/>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COUNT(Daily!$A$5:$A$10)</f>
        <v/>
      </c>
    </row>
    <row r="6">
      <c r="A6" s="29" t="inlineStr">
        <is>
          <t>Avg calories/day (mid)</t>
        </is>
      </c>
      <c r="B6" s="8">
        <f>IFERROR(AVERAGE(Daily!$D$5:$D$10),0)</f>
        <v/>
      </c>
    </row>
    <row r="7">
      <c r="A7" s="29" t="inlineStr">
        <is>
          <t>Avg protein/day (mid, g)</t>
        </is>
      </c>
      <c r="B7" s="10">
        <f>IFERROR(AVERAGE(Daily!$G$5:$G$10),0)</f>
        <v/>
      </c>
    </row>
    <row r="8">
      <c r="A8" s="29" t="inlineStr">
        <is>
          <t>Avg fat/day (mid, g)</t>
        </is>
      </c>
      <c r="B8" s="10">
        <f>IFERROR(AVERAGE(Daily!$J$5:$J$10),0)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COUNTIFS(Daily!$G$5:$G$10,"&gt;="&amp;Targets!$B$20)</f>
        <v/>
      </c>
    </row>
    <row r="13">
      <c r="A13" s="29" t="inlineStr">
        <is>
          <t>Total pending (unconfirmed) items</t>
        </is>
      </c>
      <c r="B13" s="18">
        <f>SUM(Daily!$L$5:$L$10)</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COUNTIFS(Daily!$A$5:$A$10,"&gt;="&amp;$A17,Daily!$A$5:$A$10,"&lt;="&amp;$B17)</f>
        <v/>
      </c>
      <c r="D17" s="8">
        <f>IFERROR(AVERAGEIFS(Daily!$D$5:$D$10,Daily!$A$5:$A$10,"&gt;="&amp;$A17,Daily!$A$5:$A$10,"&lt;="&amp;$B17),0)</f>
        <v/>
      </c>
      <c r="E17" s="10">
        <f>IFERROR(AVERAGEIFS(Daily!$G$5:$G$10,Daily!$A$5:$A$10,"&gt;="&amp;$A17,Daily!$A$5:$A$10,"&lt;="&amp;$B17),0)</f>
        <v/>
      </c>
      <c r="F17" s="10">
        <f>IFERROR(AVERAGEIFS(Daily!$J$5:$J$10,Daily!$A$5:$A$10,"&gt;="&amp;$A17,Daily!$A$5:$A$10,"&lt;="&amp;$B17),0)</f>
        <v/>
      </c>
    </row>
    <row r="18">
      <c r="A18" s="4" t="n">
        <v>46272</v>
      </c>
      <c r="B18" s="4" t="n">
        <v>46278</v>
      </c>
      <c r="C18" s="18">
        <f>COUNTIFS(Daily!$A$5:$A$10,"&gt;="&amp;$A18,Daily!$A$5:$A$10,"&lt;="&amp;$B18)</f>
        <v/>
      </c>
      <c r="D18" s="8">
        <f>IFERROR(AVERAGEIFS(Daily!$D$5:$D$10,Daily!$A$5:$A$10,"&gt;="&amp;$A18,Daily!$A$5:$A$10,"&lt;="&amp;$B18),0)</f>
        <v/>
      </c>
      <c r="E18" s="10">
        <f>IFERROR(AVERAGEIFS(Daily!$G$5:$G$10,Daily!$A$5:$A$10,"&gt;="&amp;$A18,Daily!$A$5:$A$10,"&lt;="&amp;$B18),0)</f>
        <v/>
      </c>
      <c r="F18" s="10">
        <f>IFERROR(AVERAGEIFS(Daily!$J$5:$J$10,Daily!$A$5:$A$10,"&gt;="&amp;$A18,Daily!$A$5:$A$10,"&lt;="&amp;$B18),0)</f>
        <v/>
      </c>
    </row>
    <row r="20">
      <c r="A20" s="28" t="inlineStr">
        <is>
          <t>Monthly</t>
        </is>
      </c>
    </row>
    <row r="21">
      <c r="A21" s="3" t="inlineStr">
        <is>
          <t>Month start</t>
        </is>
      </c>
      <c r="B21" s="3" t="inlineStr">
        <is>
          <t>Month end</t>
        </is>
      </c>
      <c r="C21" s="3" t="inlineStr">
        <is>
          <t>Days logged</t>
        </is>
      </c>
      <c r="D21" s="3" t="inlineStr">
        <is>
          <t>Avg cal/day (mid)</t>
        </is>
      </c>
      <c r="E21" s="3" t="inlineStr">
        <is>
          <t>Avg protein/day (mid, g)</t>
        </is>
      </c>
      <c r="F21" s="3" t="inlineStr">
        <is>
          <t>Avg fat/day (mid, g)</t>
        </is>
      </c>
    </row>
    <row r="22">
      <c r="A22" s="4" t="n">
        <v>46266</v>
      </c>
      <c r="B22" s="4" t="n">
        <v>46295</v>
      </c>
      <c r="C22" s="18">
        <f>COUNTIFS(Daily!$A$5:$A$10,"&gt;="&amp;$A22,Daily!$A$5:$A$10,"&lt;="&amp;$B22)</f>
        <v/>
      </c>
      <c r="D22" s="8">
        <f>IFERROR(AVERAGEIFS(Daily!$D$5:$D$10,Daily!$A$5:$A$10,"&gt;="&amp;$A22,Daily!$A$5:$A$10,"&lt;="&amp;$B22),0)</f>
        <v/>
      </c>
      <c r="E22" s="10">
        <f>IFERROR(AVERAGEIFS(Daily!$G$5:$G$10,Daily!$A$5:$A$10,"&gt;="&amp;$A22,Daily!$A$5:$A$10,"&lt;="&amp;$B22),0)</f>
        <v/>
      </c>
      <c r="F22" s="10">
        <f>IFERROR(AVERAGEIFS(Daily!$J$5:$J$10,Daily!$A$5:$A$10,"&gt;="&amp;$A22,Daily!$A$5:$A$10,"&lt;="&amp;$B22),0)</f>
        <v/>
      </c>
    </row>
    <row r="24">
      <c r="A24" s="27" t="inlineStr">
        <is>
          <t>Averages cover only the days present in the log; a part-logged day (today's dinner still to come) drags its average down.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1.45</v>
      </c>
      <c r="C9" s="33" t="inlineStr">
        <is>
          <t>1.45 = desk job plus 6 lifting sessions/week. Lifting burns less than cardio-based charts assume; raise it only if the scale says so.</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fidgeting, walking about - no training.</t>
        </is>
      </c>
    </row>
    <row r="28">
      <c r="A28" s="29" t="inlineStr">
        <is>
          <t>Training allowance</t>
        </is>
      </c>
      <c r="B28" s="8">
        <f>B15-B27</f>
        <v/>
      </c>
      <c r="C28" s="33" t="inlineStr">
        <is>
          <t>The part of the multiplier that is the gym.</t>
        </is>
      </c>
    </row>
    <row r="29">
      <c r="A29" s="29" t="inlineStr">
        <is>
          <t>Sessions per week</t>
        </is>
      </c>
      <c r="B29" s="31" t="n">
        <v>6</v>
      </c>
      <c r="C29" s="33" t="inlineStr">
        <is>
          <t>6-day PPL split.</t>
        </is>
      </c>
    </row>
    <row r="30">
      <c r="A30" s="29" t="inlineStr">
        <is>
          <t>Implied kcal per session</t>
        </is>
      </c>
      <c r="B30" s="8">
        <f>B28*7/B29</f>
        <v/>
      </c>
      <c r="C30"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5</v>
      </c>
      <c r="C33" s="33" t="inlineStr">
        <is>
          <t>Reported 5 km on 2026-09-07. ~50-60 min at a normal pace.</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46"/>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Puttu (1 cylinder ~180-220 g)</t>
        </is>
      </c>
      <c r="B8" s="7" t="n">
        <v>220</v>
      </c>
      <c r="C8" s="7" t="n">
        <v>300</v>
      </c>
      <c r="D8" s="8">
        <f>AVERAGE(B8:C8)</f>
        <v/>
      </c>
      <c r="E8" s="5" t="inlineStr">
        <is>
          <t>~4-6 g</t>
        </is>
      </c>
      <c r="F8" s="6" t="inlineStr">
        <is>
          <t>Steamed rice flour and coconut - no frying oil at all</t>
        </is>
      </c>
    </row>
    <row r="9">
      <c r="A9" s="6" t="inlineStr">
        <is>
          <t>Potato bhaji / curry (small bowl)</t>
        </is>
      </c>
      <c r="B9" s="7" t="n">
        <v>150</v>
      </c>
      <c r="C9" s="7" t="n">
        <v>220</v>
      </c>
      <c r="D9" s="8">
        <f>AVERAGE(B9:C9)</f>
        <v/>
      </c>
      <c r="E9" s="5" t="inlineStr">
        <is>
          <t>~3-4 g</t>
        </is>
      </c>
      <c r="F9" s="6" t="inlineStr">
        <is>
          <t>Kerala style; oil and coconut milk carry the calories</t>
        </is>
      </c>
    </row>
    <row r="10">
      <c r="A10" s="6" t="inlineStr">
        <is>
          <t>Sambar (with veg)</t>
        </is>
      </c>
      <c r="B10" s="7" t="n">
        <v>130</v>
      </c>
      <c r="C10" s="7" t="n">
        <v>160</v>
      </c>
      <c r="D10" s="8">
        <f>AVERAGE(B10:C10)</f>
        <v/>
      </c>
      <c r="E10" s="5" t="inlineStr">
        <is>
          <t>~4-6 g</t>
        </is>
      </c>
      <c r="F10" s="6" t="inlineStr">
        <is>
          <t>Per serving</t>
        </is>
      </c>
    </row>
    <row r="11">
      <c r="A11" s="6" t="inlineStr">
        <is>
          <t>Coconut chutney (~2 tbsp)</t>
        </is>
      </c>
      <c r="B11" s="7" t="n">
        <v>90</v>
      </c>
      <c r="C11" s="7" t="n">
        <v>110</v>
      </c>
      <c r="D11" s="8">
        <f>AVERAGE(B11:C11)</f>
        <v/>
      </c>
      <c r="E11" s="5" t="inlineStr">
        <is>
          <t>~1-2 g</t>
        </is>
      </c>
      <c r="F11" s="6" t="inlineStr">
        <is>
          <t>Fat-dense - the usual thing to cut</t>
        </is>
      </c>
    </row>
    <row r="12">
      <c r="A12" s="6" t="inlineStr">
        <is>
          <t>Red/tomato chutney (~2 tbsp)</t>
        </is>
      </c>
      <c r="B12" s="7" t="n">
        <v>40</v>
      </c>
      <c r="C12" s="7" t="n">
        <v>70</v>
      </c>
      <c r="D12" s="8">
        <f>AVERAGE(B12:C12)</f>
        <v/>
      </c>
      <c r="E12" s="5" t="inlineStr">
        <is>
          <t>~1 g</t>
        </is>
      </c>
      <c r="F12" s="6" t="inlineStr"/>
    </row>
    <row r="13">
      <c r="A13" s="6" t="inlineStr">
        <is>
          <t>Chicken biryani (half plate)</t>
        </is>
      </c>
      <c r="B13" s="7" t="n">
        <v>450</v>
      </c>
      <c r="C13" s="7" t="n">
        <v>600</v>
      </c>
      <c r="D13" s="8">
        <f>AVERAGE(B13:C13)</f>
        <v/>
      </c>
      <c r="E13" s="5" t="inlineStr">
        <is>
          <t>~22-30 g</t>
        </is>
      </c>
      <c r="F13" s="6" t="inlineStr">
        <is>
          <t>Rice + 2 pieces</t>
        </is>
      </c>
    </row>
    <row r="14">
      <c r="A14" s="6" t="inlineStr">
        <is>
          <t>Raita (small)</t>
        </is>
      </c>
      <c r="B14" s="7" t="n">
        <v>50</v>
      </c>
      <c r="C14" s="7" t="n">
        <v>80</v>
      </c>
      <c r="D14" s="8">
        <f>AVERAGE(B14:C14)</f>
        <v/>
      </c>
      <c r="E14" s="5" t="inlineStr">
        <is>
          <t>~2-4 g</t>
        </is>
      </c>
      <c r="F14" s="6" t="inlineStr"/>
    </row>
    <row r="15">
      <c r="A15" s="6" t="inlineStr">
        <is>
          <t>Maida porotta</t>
        </is>
      </c>
      <c r="B15" s="7" t="n">
        <v>160</v>
      </c>
      <c r="C15" s="7" t="n">
        <v>250</v>
      </c>
      <c r="D15" s="8">
        <f>AVERAGE(B15:C15)</f>
        <v/>
      </c>
      <c r="E15" s="5" t="inlineStr">
        <is>
          <t>~4-6 g each</t>
        </is>
      </c>
      <c r="F15" s="6" t="inlineStr">
        <is>
          <t>Refined flour + layered oil/ghee</t>
        </is>
      </c>
    </row>
    <row r="16">
      <c r="A16" s="6" t="inlineStr">
        <is>
          <t>Chapati (1)</t>
        </is>
      </c>
      <c r="B16" s="7" t="n">
        <v>100</v>
      </c>
      <c r="C16" s="7" t="n">
        <v>130</v>
      </c>
      <c r="D16" s="8">
        <f>AVERAGE(B16:C16)</f>
        <v/>
      </c>
      <c r="E16" s="5" t="inlineStr">
        <is>
          <t>~3-4 g each</t>
        </is>
      </c>
      <c r="F16" s="6" t="inlineStr">
        <is>
          <t>Whole wheat with little or no oil - about half a porotta's calories and a third of its fat</t>
        </is>
      </c>
    </row>
    <row r="17">
      <c r="A17" s="6" t="inlineStr">
        <is>
          <t>Chatti pathiri chicken (1 slice ~100-120 g)</t>
        </is>
      </c>
      <c r="B17" s="7" t="n">
        <v>230</v>
      </c>
      <c r="C17" s="7" t="n">
        <v>320</v>
      </c>
      <c r="D17" s="8">
        <f>AVERAGE(B17:C17)</f>
        <v/>
      </c>
      <c r="E17" s="5" t="inlineStr">
        <is>
          <t>~10-14 g</t>
        </is>
      </c>
      <c r="F17" s="6" t="inlineStr">
        <is>
          <t>Layered maida pathiri with chicken masala and an egg-milk binder; ghee-rich</t>
        </is>
      </c>
    </row>
    <row r="18">
      <c r="A18" s="6" t="inlineStr">
        <is>
          <t>Uzhunnu vada / medu vada (1)</t>
        </is>
      </c>
      <c r="B18" s="7" t="n">
        <v>130</v>
      </c>
      <c r="C18" s="7" t="n">
        <v>180</v>
      </c>
      <c r="D18" s="8">
        <f>AVERAGE(B18:C18)</f>
        <v/>
      </c>
      <c r="E18" s="5" t="inlineStr">
        <is>
          <t>~3.5-5 g each</t>
        </is>
      </c>
      <c r="F18" s="6" t="inlineStr">
        <is>
          <t>Deep-fried urad dal - protein-bearing but fat-dense</t>
        </is>
      </c>
    </row>
    <row r="19">
      <c r="A19" s="6" t="inlineStr">
        <is>
          <t>Kadala curry (1 container)</t>
        </is>
      </c>
      <c r="B19" s="7" t="n">
        <v>200</v>
      </c>
      <c r="C19" s="7" t="n">
        <v>300</v>
      </c>
      <c r="D19" s="8">
        <f>AVERAGE(B19:C19)</f>
        <v/>
      </c>
      <c r="E19" s="5" t="inlineStr">
        <is>
          <t>~8-10 g</t>
        </is>
      </c>
      <c r="F19" s="6" t="inlineStr"/>
    </row>
    <row r="20">
      <c r="A20" s="6" t="inlineStr">
        <is>
          <t>Fish fry (1 piece pan-fried)</t>
        </is>
      </c>
      <c r="B20" s="7" t="n">
        <v>150</v>
      </c>
      <c r="C20" s="7" t="n">
        <v>220</v>
      </c>
      <c r="D20" s="8">
        <f>AVERAGE(B20:C20)</f>
        <v/>
      </c>
      <c r="E20" s="5" t="inlineStr">
        <is>
          <t>~15-20 g</t>
        </is>
      </c>
      <c r="F20" s="6" t="inlineStr"/>
    </row>
    <row r="21">
      <c r="A21" s="6" t="inlineStr">
        <is>
          <t>Grilled chicken breast (100 g skinless)</t>
        </is>
      </c>
      <c r="B21" s="7" t="n">
        <v>160</v>
      </c>
      <c r="C21" s="7" t="n">
        <v>180</v>
      </c>
      <c r="D21" s="8">
        <f>AVERAGE(B21:C21)</f>
        <v/>
      </c>
      <c r="E21" s="5" t="inlineStr">
        <is>
          <t>~30-32 g</t>
        </is>
      </c>
      <c r="F21" s="6" t="inlineStr">
        <is>
          <t>Best protein-per-calorie item in this list</t>
        </is>
      </c>
    </row>
    <row r="22">
      <c r="A22" s="6" t="inlineStr">
        <is>
          <t>Grilled chicken breast (150 g skinless)</t>
        </is>
      </c>
      <c r="B22" s="7" t="n">
        <v>240</v>
      </c>
      <c r="C22" s="7" t="n">
        <v>270</v>
      </c>
      <c r="D22" s="8">
        <f>AVERAGE(B22:C22)</f>
        <v/>
      </c>
      <c r="E22" s="5" t="inlineStr">
        <is>
          <t>~45-48 g</t>
        </is>
      </c>
      <c r="F22" s="6" t="inlineStr"/>
    </row>
    <row r="23">
      <c r="A23" s="6" t="inlineStr">
        <is>
          <t>Honest Bowl - Grilled Chicken and Rice Bowl</t>
        </is>
      </c>
      <c r="B23" s="7" t="n">
        <v>550</v>
      </c>
      <c r="C23" s="7" t="n">
        <v>710</v>
      </c>
      <c r="D23" s="8">
        <f>AVERAGE(B23:C23)</f>
        <v/>
      </c>
      <c r="E23" s="5" t="inlineStr">
        <is>
          <t>42-48 g</t>
        </is>
      </c>
      <c r="F23" s="6" t="inlineStr">
        <is>
          <t>Menu states 42 g protein; chicken + jasmine rice + sweet potato. Sauce served separately</t>
        </is>
      </c>
    </row>
    <row r="24">
      <c r="A24" s="6" t="inlineStr">
        <is>
          <t>Brown/mushroom sauce (side pot)</t>
        </is>
      </c>
      <c r="B24" s="7" t="n">
        <v>50</v>
      </c>
      <c r="C24" s="7" t="n">
        <v>120</v>
      </c>
      <c r="D24" s="8">
        <f>AVERAGE(B24:C24)</f>
        <v/>
      </c>
      <c r="E24" s="5" t="inlineStr">
        <is>
          <t>~1-2 g</t>
        </is>
      </c>
      <c r="F24" s="6" t="inlineStr">
        <is>
          <t>Often cream or butter based - the variable in a bowl like this</t>
        </is>
      </c>
    </row>
    <row r="25">
      <c r="A25" s="6" t="inlineStr">
        <is>
          <t>Honest Bowl - Tofu Delight Bowl</t>
        </is>
      </c>
      <c r="B25" s="7" t="n">
        <v>420</v>
      </c>
      <c r="C25" s="7" t="n">
        <v>560</v>
      </c>
      <c r="D25" s="8">
        <f>AVERAGE(B25:C25)</f>
        <v/>
      </c>
      <c r="E25" s="5" t="inlineStr">
        <is>
          <t>~20 g</t>
        </is>
      </c>
      <c r="F25" s="6" t="inlineStr">
        <is>
          <t>Menu states 20 g; jasmine rice + cajun tofu + grilled eggplant. Half the protein of the chicken bowl at the same price</t>
        </is>
      </c>
    </row>
    <row r="26">
      <c r="A26" s="6" t="inlineStr">
        <is>
          <t>Chicken curry (1 takeaway container)</t>
        </is>
      </c>
      <c r="B26" s="7" t="n">
        <v>280</v>
      </c>
      <c r="C26" s="7" t="n">
        <v>420</v>
      </c>
      <c r="D26" s="8">
        <f>AVERAGE(B26:C26)</f>
        <v/>
      </c>
      <c r="E26" s="5" t="inlineStr">
        <is>
          <t>~20-28 g</t>
        </is>
      </c>
      <c r="F26" s="6" t="inlineStr">
        <is>
          <t>Kerala style; oil and coconut carry most of the calories</t>
        </is>
      </c>
    </row>
    <row r="27">
      <c r="A27" s="6" t="inlineStr">
        <is>
          <t>Grilled chicken quarter (skin on)</t>
        </is>
      </c>
      <c r="B27" s="7" t="n">
        <v>250</v>
      </c>
      <c r="C27" s="7" t="n">
        <v>320</v>
      </c>
      <c r="D27" s="8">
        <f>AVERAGE(B27:C27)</f>
        <v/>
      </c>
      <c r="E27" s="5" t="inlineStr">
        <is>
          <t>~28-33 g</t>
        </is>
      </c>
      <c r="F27" s="6" t="inlineStr">
        <is>
          <t>Skin adds ~12-15 g fat over breast</t>
        </is>
      </c>
    </row>
    <row r="28">
      <c r="A28" s="6" t="inlineStr">
        <is>
          <t>Garlic sauce / toum (1 tbsp)</t>
        </is>
      </c>
      <c r="B28" s="7" t="n">
        <v>90</v>
      </c>
      <c r="C28" s="7" t="n">
        <v>110</v>
      </c>
      <c r="D28" s="8">
        <f>AVERAGE(B28:C28)</f>
        <v/>
      </c>
      <c r="E28" s="5" t="inlineStr">
        <is>
          <t>0 g</t>
        </is>
      </c>
      <c r="F28" s="6" t="inlineStr">
        <is>
          <t>Essentially emulsified oil - the hidden cost at a grill</t>
        </is>
      </c>
    </row>
    <row r="29">
      <c r="A29" s="6" t="inlineStr">
        <is>
          <t>Khubz / pita (1 large)</t>
        </is>
      </c>
      <c r="B29" s="7" t="n">
        <v>250</v>
      </c>
      <c r="C29" s="7" t="n">
        <v>300</v>
      </c>
      <c r="D29" s="8">
        <f>AVERAGE(B29:C29)</f>
        <v/>
      </c>
      <c r="E29" s="5" t="inlineStr">
        <is>
          <t>~8-9 g</t>
        </is>
      </c>
      <c r="F29" s="6" t="inlineStr"/>
    </row>
    <row r="30">
      <c r="A30" s="6" t="inlineStr">
        <is>
          <t>Barik/basmati rice (half container cooked)</t>
        </is>
      </c>
      <c r="B30" s="7" t="n">
        <v>200</v>
      </c>
      <c r="C30" s="7" t="n">
        <v>280</v>
      </c>
      <c r="D30" s="8">
        <f>AVERAGE(B30:C30)</f>
        <v/>
      </c>
      <c r="E30" s="5" t="inlineStr">
        <is>
          <t>~4-5 g</t>
        </is>
      </c>
      <c r="F30" s="6" t="inlineStr"/>
    </row>
    <row r="31">
      <c r="A31" s="6" t="inlineStr">
        <is>
          <t>Fresh pineapple juice (350-450 ml)</t>
        </is>
      </c>
      <c r="B31" s="7" t="n">
        <v>175</v>
      </c>
      <c r="C31" s="7" t="n">
        <v>240</v>
      </c>
      <c r="D31" s="8">
        <f>AVERAGE(B31:C31)</f>
        <v/>
      </c>
      <c r="E31" s="5" t="inlineStr">
        <is>
          <t>~1-2 g</t>
        </is>
      </c>
      <c r="F31" s="6" t="inlineStr">
        <is>
          <t>No added sugar but ~35-45 g natural sugar; no fibre; almost no protein</t>
        </is>
      </c>
    </row>
    <row r="32">
      <c r="A32" s="6" t="inlineStr">
        <is>
          <t>Fresh orange juice (350-450 ml)</t>
        </is>
      </c>
      <c r="B32" s="7" t="n">
        <v>155</v>
      </c>
      <c r="C32" s="7" t="n">
        <v>205</v>
      </c>
      <c r="D32" s="8">
        <f>AVERAGE(B32:C32)</f>
        <v/>
      </c>
      <c r="E32" s="5" t="inlineStr">
        <is>
          <t>~2-3 g</t>
        </is>
      </c>
      <c r="F32" s="6" t="inlineStr">
        <is>
          <t>No added sugar but ~32-40 g natural sugar; no fibre</t>
        </is>
      </c>
    </row>
    <row r="33">
      <c r="A33" s="6" t="inlineStr">
        <is>
          <t>Whey scoop (in water)</t>
        </is>
      </c>
      <c r="B33" s="7" t="n">
        <v>100</v>
      </c>
      <c r="C33" s="7" t="n">
        <v>120</v>
      </c>
      <c r="D33" s="8">
        <f>AVERAGE(B33:C33)</f>
        <v/>
      </c>
      <c r="E33" s="5" t="inlineStr">
        <is>
          <t>~20-25 g</t>
        </is>
      </c>
      <c r="F33" s="6" t="inlineStr"/>
    </row>
    <row r="34">
      <c r="A34" s="6" t="inlineStr">
        <is>
          <t>Greek yogurt (200 g plain low-fat)</t>
        </is>
      </c>
      <c r="B34" s="7" t="n">
        <v>120</v>
      </c>
      <c r="C34" s="7" t="n">
        <v>140</v>
      </c>
      <c r="D34" s="8">
        <f>AVERAGE(B34:C34)</f>
        <v/>
      </c>
      <c r="E34" s="5" t="inlineStr">
        <is>
          <t>~18-20 g</t>
        </is>
      </c>
      <c r="F34" s="6" t="inlineStr">
        <is>
          <t>Casein - digests slowly; good overnight</t>
        </is>
      </c>
    </row>
    <row r="35">
      <c r="A35" s="6" t="inlineStr">
        <is>
          <t>Boiled egg (1 large)</t>
        </is>
      </c>
      <c r="B35" s="7" t="n">
        <v>70</v>
      </c>
      <c r="C35" s="7" t="n">
        <v>78</v>
      </c>
      <c r="D35" s="8">
        <f>AVERAGE(B35:C35)</f>
        <v/>
      </c>
      <c r="E35" s="5" t="inlineStr">
        <is>
          <t>~6-6.5 g</t>
        </is>
      </c>
      <c r="F35" s="6" t="inlineStr">
        <is>
          <t>~5 g fat each</t>
        </is>
      </c>
    </row>
    <row r="36">
      <c r="A36" s="6" t="inlineStr">
        <is>
          <t>Egg fried dry with no oil (1)</t>
        </is>
      </c>
      <c r="B36" s="7" t="n">
        <v>70</v>
      </c>
      <c r="C36" s="7" t="n">
        <v>78</v>
      </c>
      <c r="D36" s="8">
        <f>AVERAGE(B36:C36)</f>
        <v/>
      </c>
      <c r="E36" s="5" t="inlineStr">
        <is>
          <t>~6-6.5 g</t>
        </is>
      </c>
      <c r="F36" s="6" t="inlineStr">
        <is>
          <t>Same as boiled - dry-frying saves the ~20-25 kcal per egg that pan oil adds</t>
        </is>
      </c>
    </row>
    <row r="37">
      <c r="A37" s="6" t="inlineStr">
        <is>
          <t>Paneer (50 g full-fat)</t>
        </is>
      </c>
      <c r="B37" s="7" t="n">
        <v>130</v>
      </c>
      <c r="C37" s="7" t="n">
        <v>150</v>
      </c>
      <c r="D37" s="8">
        <f>AVERAGE(B37:C37)</f>
        <v/>
      </c>
      <c r="E37" s="5" t="inlineStr">
        <is>
          <t>~8-9 g</t>
        </is>
      </c>
      <c r="F37" s="6" t="inlineStr">
        <is>
          <t>Fat-dense for the protein it gives</t>
        </is>
      </c>
    </row>
    <row r="38">
      <c r="A38" s="6" t="inlineStr">
        <is>
          <t>Cucumber (1 medium)</t>
        </is>
      </c>
      <c r="B38" s="7" t="n">
        <v>25</v>
      </c>
      <c r="C38" s="7" t="n">
        <v>30</v>
      </c>
      <c r="D38" s="8">
        <f>AVERAGE(B38:C38)</f>
        <v/>
      </c>
      <c r="E38" s="5" t="inlineStr">
        <is>
          <t>~1.5 g</t>
        </is>
      </c>
      <c r="F38" s="6" t="inlineStr">
        <is>
          <t>Volume with almost no calories</t>
        </is>
      </c>
    </row>
    <row r="39">
      <c r="A39" s="6" t="inlineStr">
        <is>
          <t>Sweet melon / cantaloupe (1 wedge ~100-150 g)</t>
        </is>
      </c>
      <c r="B39" s="7" t="n">
        <v>35</v>
      </c>
      <c r="C39" s="7" t="n">
        <v>55</v>
      </c>
      <c r="D39" s="8">
        <f>AVERAGE(B39:C39)</f>
        <v/>
      </c>
      <c r="E39" s="5" t="inlineStr">
        <is>
          <t>~0.5-1 g</t>
        </is>
      </c>
      <c r="F39" s="6" t="inlineStr">
        <is>
          <t>Whole fruit - fibre and water intact; ~1/4 the calories of the same fruit juiced</t>
        </is>
      </c>
    </row>
    <row r="40">
      <c r="A40" s="6" t="inlineStr">
        <is>
          <t>Grapes (~100 g / 15-20 grapes)</t>
        </is>
      </c>
      <c r="B40" s="7" t="n">
        <v>60</v>
      </c>
      <c r="C40" s="7" t="n">
        <v>75</v>
      </c>
      <c r="D40" s="8">
        <f>AVERAGE(B40:C40)</f>
        <v/>
      </c>
      <c r="E40" s="5" t="inlineStr">
        <is>
          <t>~0.6 g</t>
        </is>
      </c>
      <c r="F40" s="6" t="inlineStr">
        <is>
          <t>Twice the calorie density of melon; easy to eat a large handful without noticing</t>
        </is>
      </c>
    </row>
    <row r="41">
      <c r="A41" s="6" t="inlineStr">
        <is>
          <t>Diet/zero-sugar soft drink (330 ml)</t>
        </is>
      </c>
      <c r="B41" s="7" t="n">
        <v>0</v>
      </c>
      <c r="C41" s="7" t="n">
        <v>2</v>
      </c>
      <c r="D41" s="8">
        <f>AVERAGE(B41:C41)</f>
        <v/>
      </c>
      <c r="E41" s="5" t="inlineStr">
        <is>
          <t>0 g</t>
        </is>
      </c>
      <c r="F41" s="6" t="inlineStr">
        <is>
          <t>Genuinely zero - unlike fruit juice sold as no added sugar</t>
        </is>
      </c>
    </row>
    <row r="42">
      <c r="A42" s="6" t="inlineStr">
        <is>
          <t>Whey scoop (in black coffee no sugar)</t>
        </is>
      </c>
      <c r="B42" s="7" t="n">
        <v>100</v>
      </c>
      <c r="C42" s="7" t="n">
        <v>130</v>
      </c>
      <c r="D42" s="8">
        <f>AVERAGE(B42:C42)</f>
        <v/>
      </c>
      <c r="E42" s="5" t="inlineStr">
        <is>
          <t>~20-25 g</t>
        </is>
      </c>
      <c r="F42" s="6" t="inlineStr"/>
    </row>
    <row r="43">
      <c r="A43" s="6" t="inlineStr">
        <is>
          <t>Cashew/almond biscuit (1)</t>
        </is>
      </c>
      <c r="B43" s="7" t="n">
        <v>38</v>
      </c>
      <c r="C43" s="7" t="n">
        <v>38</v>
      </c>
      <c r="D43" s="8">
        <f>AVERAGE(B43:C43)</f>
        <v/>
      </c>
      <c r="E43" s="5" t="inlineStr">
        <is>
          <t>~0.5 g</t>
        </is>
      </c>
      <c r="F43" s="6" t="inlineStr"/>
    </row>
    <row r="44">
      <c r="A44" s="6" t="inlineStr">
        <is>
          <t>Chocolate bar (~50g standard)</t>
        </is>
      </c>
      <c r="B44" s="7" t="n">
        <v>245</v>
      </c>
      <c r="C44" s="7" t="n">
        <v>250</v>
      </c>
      <c r="D44" s="8">
        <f>AVERAGE(B44:C44)</f>
        <v/>
      </c>
      <c r="E44" s="5" t="inlineStr">
        <is>
          <t>~4 g</t>
        </is>
      </c>
      <c r="F44" s="6" t="inlineStr"/>
    </row>
    <row r="45">
      <c r="A45" s="6" t="inlineStr">
        <is>
          <t>Chocolate bar (70g king-size)</t>
        </is>
      </c>
      <c r="B45" s="7" t="n">
        <v>335</v>
      </c>
      <c r="C45" s="7" t="n">
        <v>335</v>
      </c>
      <c r="D45" s="8">
        <f>AVERAGE(B45:C45)</f>
        <v/>
      </c>
      <c r="E45" s="5" t="inlineStr">
        <is>
          <t>~6 g</t>
        </is>
      </c>
      <c r="F45" s="6" t="inlineStr"/>
    </row>
    <row r="46">
      <c r="A46" s="6" t="inlineStr">
        <is>
          <t>Pre-workout scoop</t>
        </is>
      </c>
      <c r="B46" s="7" t="n">
        <v>5</v>
      </c>
      <c r="C46" s="7" t="n">
        <v>15</v>
      </c>
      <c r="D46" s="8">
        <f>AVERAGE(B46:C46)</f>
        <v/>
      </c>
      <c r="E46" s="5" t="inlineStr">
        <is>
          <t>0 g</t>
        </is>
      </c>
      <c r="F46" s="6" t="inlineStr">
        <is>
          <t>Negligible</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2026-09-09T13:09:56Z</dcterms:created>
  <dcterms:modified xsi:type="dcterms:W3CDTF">2026-09-09T13:09:56Z</dcterms:modified>
</cp:coreProperties>
</file>