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5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Breakfast</t>
        </is>
      </c>
      <c r="C142" s="6" t="inlineStr">
        <is>
          <t>2 slices brown multigrain bread + 3 small spoons peanut butter + 400 ml milk + 2 fists corn flakes</t>
        </is>
      </c>
      <c r="D142" s="7" t="n">
        <v>810</v>
      </c>
      <c r="E142" s="7" t="n">
        <v>1050</v>
      </c>
      <c r="F142" s="8">
        <f>AVERAGE(D142:E142)</f>
        <v/>
      </c>
      <c r="G142" s="9" t="n">
        <v>32</v>
      </c>
      <c r="H142" s="9" t="n">
        <v>39</v>
      </c>
      <c r="I142" s="10">
        <f>AVERAGE(G142:H142)</f>
        <v/>
      </c>
      <c r="J142" s="9" t="n">
        <v>26</v>
      </c>
      <c r="K142" s="9" t="n">
        <v>41</v>
      </c>
      <c r="L142" s="10">
        <f>AVERAGE(J142:K142)</f>
        <v/>
      </c>
      <c r="M142" s="5" t="inlineStr">
        <is>
          <t>logged</t>
        </is>
      </c>
      <c r="N142" s="6" t="inlineStr">
        <is>
          <t>Reported the following day; no whey scoop</t>
        </is>
      </c>
    </row>
    <row r="143">
      <c r="A143" s="4" t="n">
        <v>46301</v>
      </c>
      <c r="B143" s="5" t="inlineStr">
        <is>
          <t>Dinner</t>
        </is>
      </c>
      <c r="C143" s="6" t="inlineStr">
        <is>
          <t>2 fists corn flakes + ~300 ml milk</t>
        </is>
      </c>
      <c r="D143" s="7" t="n">
        <v>330</v>
      </c>
      <c r="E143" s="7" t="n">
        <v>430</v>
      </c>
      <c r="F143" s="8">
        <f>AVERAGE(D143:E143)</f>
        <v/>
      </c>
      <c r="G143" s="9" t="n">
        <v>13</v>
      </c>
      <c r="H143" s="9" t="n">
        <v>15</v>
      </c>
      <c r="I143" s="10">
        <f>AVERAGE(G143:H143)</f>
        <v/>
      </c>
      <c r="J143" s="9" t="n">
        <v>5</v>
      </c>
      <c r="K143" s="9" t="n">
        <v>13</v>
      </c>
      <c r="L143" s="10">
        <f>AVERAGE(J143:K143)</f>
        <v/>
      </c>
      <c r="M143" s="5" t="inlineStr">
        <is>
          <t>logged</t>
        </is>
      </c>
      <c r="N143" s="6" t="inlineStr">
        <is>
          <t>Smaller bowl than usual; milk resumed after two days without</t>
        </is>
      </c>
    </row>
    <row r="144">
      <c r="A144" s="4" t="n">
        <v>46301</v>
      </c>
      <c r="B144" s="5" t="inlineStr">
        <is>
          <t>Lunch</t>
        </is>
      </c>
      <c r="C144" s="6" t="inlineStr">
        <is>
          <t>Boiled chicken breast (no oil) with broth + 2 slices brown multigrain bread</t>
        </is>
      </c>
      <c r="D144" s="7" t="n">
        <v>670</v>
      </c>
      <c r="E144" s="7" t="n">
        <v>1010</v>
      </c>
      <c r="F144" s="8">
        <f>AVERAGE(D144:E144)</f>
        <v/>
      </c>
      <c r="G144" s="9" t="n">
        <v>98</v>
      </c>
      <c r="H144" s="9" t="n">
        <v>141</v>
      </c>
      <c r="I144" s="10">
        <f>AVERAGE(G144:H144)</f>
        <v/>
      </c>
      <c r="J144" s="9" t="n">
        <v>7</v>
      </c>
      <c r="K144" s="9" t="n">
        <v>18</v>
      </c>
      <c r="L144" s="10">
        <f>AVERAGE(J144:K144)</f>
        <v/>
      </c>
      <c r="M144" s="5" t="inlineStr">
        <is>
          <t>logged</t>
        </is>
      </c>
      <c r="N144" s="6" t="inlineStr">
        <is>
          <t>Portion not stated - range spans 300-400 g of breast; no milk</t>
        </is>
      </c>
    </row>
    <row r="145">
      <c r="A145" s="4" t="n">
        <v>46302</v>
      </c>
      <c r="B145" s="5" t="inlineStr">
        <is>
          <t>Breakfast</t>
        </is>
      </c>
      <c r="C145" s="6" t="inlineStr">
        <is>
          <t>1 whey scoop + 2 fists corn flakes + 400 ml milk + 2 slices brown multigrain bread + 2 spoons peanut butter</t>
        </is>
      </c>
      <c r="D145" s="7" t="n">
        <v>860</v>
      </c>
      <c r="E145" s="7" t="n">
        <v>1090</v>
      </c>
      <c r="F145" s="8">
        <f>AVERAGE(D145:E145)</f>
        <v/>
      </c>
      <c r="G145" s="9" t="n">
        <v>50</v>
      </c>
      <c r="H145" s="9" t="n">
        <v>61</v>
      </c>
      <c r="I145" s="10">
        <f>AVERAGE(G145:H145)</f>
        <v/>
      </c>
      <c r="J145" s="9" t="n">
        <v>22</v>
      </c>
      <c r="K145" s="9" t="n">
        <v>37</v>
      </c>
      <c r="L145" s="10">
        <f>AVERAGE(J145:K145)</f>
        <v/>
      </c>
      <c r="M145" s="5" t="inlineStr">
        <is>
          <t>logged</t>
        </is>
      </c>
      <c r="N145" s="6" t="inlineStr">
        <is>
          <t>Same assembly as 10-02; no banana. Seventh early scoop placement</t>
        </is>
      </c>
    </row>
    <row r="146">
      <c r="A146" s="4" t="n">
        <v>46302</v>
      </c>
      <c r="B146" s="5" t="inlineStr">
        <is>
          <t>Dinner</t>
        </is>
      </c>
      <c r="C146" s="6" t="inlineStr">
        <is>
          <t>2 fried eggs in a little ghee + 2 slices brown multigrain bread + curd + rice boiled with 200 g chicken</t>
        </is>
      </c>
      <c r="D146" s="7" t="n">
        <v>920</v>
      </c>
      <c r="E146" s="7" t="n">
        <v>1240</v>
      </c>
      <c r="F146" s="8">
        <f>AVERAGE(D146:E146)</f>
        <v/>
      </c>
      <c r="G146" s="9" t="n">
        <v>77</v>
      </c>
      <c r="H146" s="9" t="n">
        <v>97</v>
      </c>
      <c r="I146" s="10">
        <f>AVERAGE(G146:H146)</f>
        <v/>
      </c>
      <c r="J146" s="9" t="n">
        <v>26</v>
      </c>
      <c r="K146" s="9" t="n">
        <v>52</v>
      </c>
      <c r="L146" s="10">
        <f>AVERAGE(J146:K146)</f>
        <v/>
      </c>
      <c r="M146" s="5" t="inlineStr">
        <is>
          <t>logged</t>
        </is>
      </c>
      <c r="N146" s="6" t="inlineStr">
        <is>
          <t>Second 200 g chicken-and-rice portion of the day</t>
        </is>
      </c>
    </row>
    <row r="147">
      <c r="A147" s="4" t="n">
        <v>46302</v>
      </c>
      <c r="B147" s="5" t="inlineStr">
        <is>
          <t>Lunch</t>
        </is>
      </c>
      <c r="C147" s="6" t="inlineStr">
        <is>
          <t>200 g boiled chicken cooked with 1 fist basmati rice + 2 big spoons curd</t>
        </is>
      </c>
      <c r="D147" s="7" t="n">
        <v>570</v>
      </c>
      <c r="E147" s="7" t="n">
        <v>770</v>
      </c>
      <c r="F147" s="8">
        <f>AVERAGE(D147:E147)</f>
        <v/>
      </c>
      <c r="G147" s="9" t="n">
        <v>58</v>
      </c>
      <c r="H147" s="9" t="n">
        <v>72</v>
      </c>
      <c r="I147" s="10">
        <f>AVERAGE(G147:H147)</f>
        <v/>
      </c>
      <c r="J147" s="9" t="n">
        <v>9</v>
      </c>
      <c r="K147" s="9" t="n">
        <v>28</v>
      </c>
      <c r="L147" s="10">
        <f>AVERAGE(J147:K147)</f>
        <v/>
      </c>
      <c r="M147" s="5" t="inlineStr">
        <is>
          <t>logged</t>
        </is>
      </c>
      <c r="N147" s="6" t="inlineStr">
        <is>
          <t>Chicken weight stated at 200 g; rice cooked in the stock so it carries some fat</t>
        </is>
      </c>
    </row>
    <row r="148">
      <c r="A148" s="4" t="n">
        <v>46303</v>
      </c>
      <c r="B148" s="5" t="inlineStr">
        <is>
          <t>Breakfast</t>
        </is>
      </c>
      <c r="C148" s="6" t="inlineStr">
        <is>
          <t>400 ml milk + 1 scoop Body Armor whey + 2 slices brown multigrain bread + 2 lettuce leaves + 2 fried eggs in a little ghee</t>
        </is>
      </c>
      <c r="D148" s="7" t="n">
        <v>655</v>
      </c>
      <c r="E148" s="7" t="n">
        <v>860</v>
      </c>
      <c r="F148" s="8">
        <f>AVERAGE(D148:E148)</f>
        <v/>
      </c>
      <c r="G148" s="9" t="n">
        <v>55</v>
      </c>
      <c r="H148" s="9" t="n">
        <v>64</v>
      </c>
      <c r="I148" s="10">
        <f>AVERAGE(G148:H148)</f>
        <v/>
      </c>
      <c r="J148" s="9" t="n">
        <v>23.5</v>
      </c>
      <c r="K148" s="9" t="n">
        <v>41</v>
      </c>
      <c r="L148" s="10">
        <f>AVERAGE(J148:K148)</f>
        <v/>
      </c>
      <c r="M148" s="5" t="inlineStr">
        <is>
          <t>logged</t>
        </is>
      </c>
      <c r="N148" s="6" t="inlineStr">
        <is>
          <t>No corn flakes - replaced by 2 fried eggs. 7.9 g protein per 100 kcal</t>
        </is>
      </c>
    </row>
    <row r="149">
      <c r="A149" s="4" t="n">
        <v>46303</v>
      </c>
      <c r="B149" s="5" t="inlineStr">
        <is>
          <t>Dinner</t>
        </is>
      </c>
      <c r="C149" s="6" t="inlineStr">
        <is>
          <t>1 scoop Body Armor whey + 400 ml milk</t>
        </is>
      </c>
      <c r="D149" s="7" t="n">
        <v>320</v>
      </c>
      <c r="E149" s="7" t="n">
        <v>420</v>
      </c>
      <c r="F149" s="8">
        <f>AVERAGE(D149:E149)</f>
        <v/>
      </c>
      <c r="G149" s="9" t="n">
        <v>37</v>
      </c>
      <c r="H149" s="9" t="n">
        <v>40</v>
      </c>
      <c r="I149" s="10">
        <f>AVERAGE(G149:H149)</f>
        <v/>
      </c>
      <c r="J149" s="9" t="n">
        <v>7</v>
      </c>
      <c r="K149" s="9" t="n">
        <v>19</v>
      </c>
      <c r="L149" s="10">
        <f>AVERAGE(J149:K149)</f>
        <v/>
      </c>
      <c r="M149" s="5" t="inlineStr">
        <is>
          <t>logged</t>
        </is>
      </c>
      <c r="N149" s="6" t="inlineStr">
        <is>
          <t>Dinner was a shake rather than a meal</t>
        </is>
      </c>
    </row>
    <row r="150">
      <c r="A150" s="4" t="n">
        <v>46303</v>
      </c>
      <c r="B150" s="5" t="inlineStr">
        <is>
          <t>Lunch</t>
        </is>
      </c>
      <c r="C150" s="6" t="inlineStr">
        <is>
          <t>Beef fry with onion + fish fry + single omelette + 1 slice bread + curd + curd curry</t>
        </is>
      </c>
      <c r="D150" s="7" t="n">
        <v>720</v>
      </c>
      <c r="E150" s="7" t="n">
        <v>1070</v>
      </c>
      <c r="F150" s="8">
        <f>AVERAGE(D150:E150)</f>
        <v/>
      </c>
      <c r="G150" s="9" t="n">
        <v>55.5</v>
      </c>
      <c r="H150" s="9" t="n">
        <v>80.5</v>
      </c>
      <c r="I150" s="10">
        <f>AVERAGE(G150:H150)</f>
        <v/>
      </c>
      <c r="J150" s="9" t="n">
        <v>37</v>
      </c>
      <c r="K150" s="9" t="n">
        <v>63</v>
      </c>
      <c r="L150" s="10">
        <f>AVERAGE(J150:K150)</f>
        <v/>
      </c>
      <c r="M150" s="5" t="inlineStr">
        <is>
          <t>logged</t>
        </is>
      </c>
      <c r="N150" s="6" t="inlineStr">
        <is>
          <t>7.6 g protein per 100 kcal; curd is fermented so carries far less lactose than milk</t>
        </is>
      </c>
    </row>
    <row r="151">
      <c r="A151" s="4" t="n">
        <v>46303</v>
      </c>
      <c r="B151" s="5" t="inlineStr">
        <is>
          <t>Snack</t>
        </is>
      </c>
      <c r="C151" s="6" t="inlineStr">
        <is>
          <t>Body Armor whey scoop with water (11:45)</t>
        </is>
      </c>
      <c r="D151" s="7" t="n">
        <v>120</v>
      </c>
      <c r="E151" s="7" t="n">
        <v>140</v>
      </c>
      <c r="F151" s="8">
        <f>AVERAGE(D151:E151)</f>
        <v/>
      </c>
      <c r="G151" s="9" t="n">
        <v>24</v>
      </c>
      <c r="H151" s="9" t="n">
        <v>26</v>
      </c>
      <c r="I151" s="10">
        <f>AVERAGE(G151:H151)</f>
        <v/>
      </c>
      <c r="J151" s="9" t="n">
        <v>1.5</v>
      </c>
      <c r="K151" s="9" t="n">
        <v>3</v>
      </c>
      <c r="L151" s="10">
        <f>AVERAGE(J151:K151)</f>
        <v/>
      </c>
      <c r="M151" s="5" t="inlineStr">
        <is>
          <t>logged</t>
        </is>
      </c>
      <c r="N151" s="6" t="inlineStr">
        <is>
          <t>Taken with water rather than milk; second scoop of the day</t>
        </is>
      </c>
    </row>
    <row r="152">
      <c r="A152" s="4" t="n">
        <v>46304</v>
      </c>
      <c r="B152" s="5" t="inlineStr">
        <is>
          <t>Breakfast</t>
        </is>
      </c>
      <c r="C152" s="6" t="inlineStr">
        <is>
          <t>2 slices brown multigrain bread + 2 fried eggs in 1 small spoon ghee + 2 lettuce leaves + 1 scoop whey with 400 ml milk</t>
        </is>
      </c>
      <c r="D152" s="7" t="n">
        <v>655</v>
      </c>
      <c r="E152" s="7" t="n">
        <v>860</v>
      </c>
      <c r="F152" s="8">
        <f>AVERAGE(D152:E152)</f>
        <v/>
      </c>
      <c r="G152" s="9" t="n">
        <v>55</v>
      </c>
      <c r="H152" s="9" t="n">
        <v>64</v>
      </c>
      <c r="I152" s="10">
        <f>AVERAGE(G152:H152)</f>
        <v/>
      </c>
      <c r="J152" s="9" t="n">
        <v>23.5</v>
      </c>
      <c r="K152" s="9" t="n">
        <v>41</v>
      </c>
      <c r="L152" s="10">
        <f>AVERAGE(J152:K152)</f>
        <v/>
      </c>
      <c r="M152" s="5" t="inlineStr">
        <is>
          <t>logged</t>
        </is>
      </c>
      <c r="N152" s="6" t="inlineStr">
        <is>
          <t>Identical to the 10-08 version; second day without corn flakes</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SUMIFS(Meals!$D$5:$D$152,Meals!$A$5:$A$152,$A5,Meals!$M$5:$M$152,"logged")</f>
        <v/>
      </c>
      <c r="C5" s="8">
        <f>SUMIFS(Meals!$E$5:$E$152,Meals!$A$5:$A$152,$A5,Meals!$M$5:$M$152,"logged")</f>
        <v/>
      </c>
      <c r="D5" s="8">
        <f>AVERAGE(B5:C5)</f>
        <v/>
      </c>
      <c r="E5" s="10">
        <f>SUMIFS(Meals!$G$5:$G$152,Meals!$A$5:$A$152,$A5,Meals!$M$5:$M$152,"logged")</f>
        <v/>
      </c>
      <c r="F5" s="10">
        <f>SUMIFS(Meals!$H$5:$H$152,Meals!$A$5:$A$152,$A5,Meals!$M$5:$M$152,"logged")</f>
        <v/>
      </c>
      <c r="G5" s="10">
        <f>AVERAGE(E5:F5)</f>
        <v/>
      </c>
      <c r="H5" s="10">
        <f>SUMIFS(Meals!$J$5:$J$152,Meals!$A$5:$A$152,$A5,Meals!$M$5:$M$152,"logged")</f>
        <v/>
      </c>
      <c r="I5" s="10">
        <f>SUMIFS(Meals!$K$5:$K$152,Meals!$A$5:$A$152,$A5,Meals!$M$5:$M$152,"logged")</f>
        <v/>
      </c>
      <c r="J5" s="10">
        <f>AVERAGE(H5:I5)</f>
        <v/>
      </c>
      <c r="K5" s="18">
        <f>COUNTIFS(Meals!$A$5:$A$152,$A5,Meals!$M$5:$M$152,"logged")</f>
        <v/>
      </c>
      <c r="L5" s="18">
        <f>COUNTIFS(Meals!$A$5:$A$152,$A5,Meals!$M$5:$M$152,"pending")</f>
        <v/>
      </c>
      <c r="M5" s="19">
        <f>D5-Targets!$B$16</f>
        <v/>
      </c>
    </row>
    <row r="6">
      <c r="A6" s="20" t="n">
        <v>46270</v>
      </c>
      <c r="B6" s="21">
        <f>SUMIFS(Meals!$D$5:$D$152,Meals!$A$5:$A$152,$A6,Meals!$M$5:$M$152,"logged")</f>
        <v/>
      </c>
      <c r="C6" s="21">
        <f>SUMIFS(Meals!$E$5:$E$152,Meals!$A$5:$A$152,$A6,Meals!$M$5:$M$152,"logged")</f>
        <v/>
      </c>
      <c r="D6" s="21">
        <f>AVERAGE(B6:C6)</f>
        <v/>
      </c>
      <c r="E6" s="22">
        <f>SUMIFS(Meals!$G$5:$G$152,Meals!$A$5:$A$152,$A6,Meals!$M$5:$M$152,"logged")</f>
        <v/>
      </c>
      <c r="F6" s="22">
        <f>SUMIFS(Meals!$H$5:$H$152,Meals!$A$5:$A$152,$A6,Meals!$M$5:$M$152,"logged")</f>
        <v/>
      </c>
      <c r="G6" s="22">
        <f>AVERAGE(E6:F6)</f>
        <v/>
      </c>
      <c r="H6" s="22">
        <f>SUMIFS(Meals!$J$5:$J$152,Meals!$A$5:$A$152,$A6,Meals!$M$5:$M$152,"logged")</f>
        <v/>
      </c>
      <c r="I6" s="22">
        <f>SUMIFS(Meals!$K$5:$K$152,Meals!$A$5:$A$152,$A6,Meals!$M$5:$M$152,"logged")</f>
        <v/>
      </c>
      <c r="J6" s="22">
        <f>AVERAGE(H6:I6)</f>
        <v/>
      </c>
      <c r="K6" s="20">
        <f>COUNTIFS(Meals!$A$5:$A$152,$A6,Meals!$M$5:$M$152,"logged")</f>
        <v/>
      </c>
      <c r="L6" s="20">
        <f>COUNTIFS(Meals!$A$5:$A$152,$A6,Meals!$M$5:$M$152,"pending")</f>
        <v/>
      </c>
      <c r="M6" s="23">
        <f>D6-Targets!$B$16</f>
        <v/>
      </c>
    </row>
    <row r="7">
      <c r="A7" s="18" t="n">
        <v>46271</v>
      </c>
      <c r="B7" s="8">
        <f>SUMIFS(Meals!$D$5:$D$152,Meals!$A$5:$A$152,$A7,Meals!$M$5:$M$152,"logged")</f>
        <v/>
      </c>
      <c r="C7" s="8">
        <f>SUMIFS(Meals!$E$5:$E$152,Meals!$A$5:$A$152,$A7,Meals!$M$5:$M$152,"logged")</f>
        <v/>
      </c>
      <c r="D7" s="8">
        <f>AVERAGE(B7:C7)</f>
        <v/>
      </c>
      <c r="E7" s="10">
        <f>SUMIFS(Meals!$G$5:$G$152,Meals!$A$5:$A$152,$A7,Meals!$M$5:$M$152,"logged")</f>
        <v/>
      </c>
      <c r="F7" s="10">
        <f>SUMIFS(Meals!$H$5:$H$152,Meals!$A$5:$A$152,$A7,Meals!$M$5:$M$152,"logged")</f>
        <v/>
      </c>
      <c r="G7" s="10">
        <f>AVERAGE(E7:F7)</f>
        <v/>
      </c>
      <c r="H7" s="10">
        <f>SUMIFS(Meals!$J$5:$J$152,Meals!$A$5:$A$152,$A7,Meals!$M$5:$M$152,"logged")</f>
        <v/>
      </c>
      <c r="I7" s="10">
        <f>SUMIFS(Meals!$K$5:$K$152,Meals!$A$5:$A$152,$A7,Meals!$M$5:$M$152,"logged")</f>
        <v/>
      </c>
      <c r="J7" s="10">
        <f>AVERAGE(H7:I7)</f>
        <v/>
      </c>
      <c r="K7" s="18">
        <f>COUNTIFS(Meals!$A$5:$A$152,$A7,Meals!$M$5:$M$152,"logged")</f>
        <v/>
      </c>
      <c r="L7" s="18">
        <f>COUNTIFS(Meals!$A$5:$A$152,$A7,Meals!$M$5:$M$152,"pending")</f>
        <v/>
      </c>
      <c r="M7" s="19">
        <f>D7-Targets!$B$16</f>
        <v/>
      </c>
    </row>
    <row r="8">
      <c r="A8" s="20" t="n">
        <v>46272</v>
      </c>
      <c r="B8" s="21">
        <f>SUMIFS(Meals!$D$5:$D$152,Meals!$A$5:$A$152,$A8,Meals!$M$5:$M$152,"logged")</f>
        <v/>
      </c>
      <c r="C8" s="21">
        <f>SUMIFS(Meals!$E$5:$E$152,Meals!$A$5:$A$152,$A8,Meals!$M$5:$M$152,"logged")</f>
        <v/>
      </c>
      <c r="D8" s="21">
        <f>AVERAGE(B8:C8)</f>
        <v/>
      </c>
      <c r="E8" s="22">
        <f>SUMIFS(Meals!$G$5:$G$152,Meals!$A$5:$A$152,$A8,Meals!$M$5:$M$152,"logged")</f>
        <v/>
      </c>
      <c r="F8" s="22">
        <f>SUMIFS(Meals!$H$5:$H$152,Meals!$A$5:$A$152,$A8,Meals!$M$5:$M$152,"logged")</f>
        <v/>
      </c>
      <c r="G8" s="22">
        <f>AVERAGE(E8:F8)</f>
        <v/>
      </c>
      <c r="H8" s="22">
        <f>SUMIFS(Meals!$J$5:$J$152,Meals!$A$5:$A$152,$A8,Meals!$M$5:$M$152,"logged")</f>
        <v/>
      </c>
      <c r="I8" s="22">
        <f>SUMIFS(Meals!$K$5:$K$152,Meals!$A$5:$A$152,$A8,Meals!$M$5:$M$152,"logged")</f>
        <v/>
      </c>
      <c r="J8" s="22">
        <f>AVERAGE(H8:I8)</f>
        <v/>
      </c>
      <c r="K8" s="20">
        <f>COUNTIFS(Meals!$A$5:$A$152,$A8,Meals!$M$5:$M$152,"logged")</f>
        <v/>
      </c>
      <c r="L8" s="20">
        <f>COUNTIFS(Meals!$A$5:$A$152,$A8,Meals!$M$5:$M$152,"pending")</f>
        <v/>
      </c>
      <c r="M8" s="23">
        <f>D8-Targets!$B$16</f>
        <v/>
      </c>
    </row>
    <row r="9">
      <c r="A9" s="18" t="n">
        <v>46273</v>
      </c>
      <c r="B9" s="8">
        <f>SUMIFS(Meals!$D$5:$D$152,Meals!$A$5:$A$152,$A9,Meals!$M$5:$M$152,"logged")</f>
        <v/>
      </c>
      <c r="C9" s="8">
        <f>SUMIFS(Meals!$E$5:$E$152,Meals!$A$5:$A$152,$A9,Meals!$M$5:$M$152,"logged")</f>
        <v/>
      </c>
      <c r="D9" s="8">
        <f>AVERAGE(B9:C9)</f>
        <v/>
      </c>
      <c r="E9" s="10">
        <f>SUMIFS(Meals!$G$5:$G$152,Meals!$A$5:$A$152,$A9,Meals!$M$5:$M$152,"logged")</f>
        <v/>
      </c>
      <c r="F9" s="10">
        <f>SUMIFS(Meals!$H$5:$H$152,Meals!$A$5:$A$152,$A9,Meals!$M$5:$M$152,"logged")</f>
        <v/>
      </c>
      <c r="G9" s="10">
        <f>AVERAGE(E9:F9)</f>
        <v/>
      </c>
      <c r="H9" s="10">
        <f>SUMIFS(Meals!$J$5:$J$152,Meals!$A$5:$A$152,$A9,Meals!$M$5:$M$152,"logged")</f>
        <v/>
      </c>
      <c r="I9" s="10">
        <f>SUMIFS(Meals!$K$5:$K$152,Meals!$A$5:$A$152,$A9,Meals!$M$5:$M$152,"logged")</f>
        <v/>
      </c>
      <c r="J9" s="10">
        <f>AVERAGE(H9:I9)</f>
        <v/>
      </c>
      <c r="K9" s="18">
        <f>COUNTIFS(Meals!$A$5:$A$152,$A9,Meals!$M$5:$M$152,"logged")</f>
        <v/>
      </c>
      <c r="L9" s="18">
        <f>COUNTIFS(Meals!$A$5:$A$152,$A9,Meals!$M$5:$M$152,"pending")</f>
        <v/>
      </c>
      <c r="M9" s="19">
        <f>D9-Targets!$B$16</f>
        <v/>
      </c>
    </row>
    <row r="10">
      <c r="A10" s="20" t="n">
        <v>46274</v>
      </c>
      <c r="B10" s="21">
        <f>SUMIFS(Meals!$D$5:$D$152,Meals!$A$5:$A$152,$A10,Meals!$M$5:$M$152,"logged")</f>
        <v/>
      </c>
      <c r="C10" s="21">
        <f>SUMIFS(Meals!$E$5:$E$152,Meals!$A$5:$A$152,$A10,Meals!$M$5:$M$152,"logged")</f>
        <v/>
      </c>
      <c r="D10" s="21">
        <f>AVERAGE(B10:C10)</f>
        <v/>
      </c>
      <c r="E10" s="22">
        <f>SUMIFS(Meals!$G$5:$G$152,Meals!$A$5:$A$152,$A10,Meals!$M$5:$M$152,"logged")</f>
        <v/>
      </c>
      <c r="F10" s="22">
        <f>SUMIFS(Meals!$H$5:$H$152,Meals!$A$5:$A$152,$A10,Meals!$M$5:$M$152,"logged")</f>
        <v/>
      </c>
      <c r="G10" s="22">
        <f>AVERAGE(E10:F10)</f>
        <v/>
      </c>
      <c r="H10" s="22">
        <f>SUMIFS(Meals!$J$5:$J$152,Meals!$A$5:$A$152,$A10,Meals!$M$5:$M$152,"logged")</f>
        <v/>
      </c>
      <c r="I10" s="22">
        <f>SUMIFS(Meals!$K$5:$K$152,Meals!$A$5:$A$152,$A10,Meals!$M$5:$M$152,"logged")</f>
        <v/>
      </c>
      <c r="J10" s="22">
        <f>AVERAGE(H10:I10)</f>
        <v/>
      </c>
      <c r="K10" s="20">
        <f>COUNTIFS(Meals!$A$5:$A$152,$A10,Meals!$M$5:$M$152,"logged")</f>
        <v/>
      </c>
      <c r="L10" s="20">
        <f>COUNTIFS(Meals!$A$5:$A$152,$A10,Meals!$M$5:$M$152,"pending")</f>
        <v/>
      </c>
      <c r="M10" s="23">
        <f>D10-Targets!$B$16</f>
        <v/>
      </c>
    </row>
    <row r="11">
      <c r="A11" s="18" t="n">
        <v>46275</v>
      </c>
      <c r="B11" s="8">
        <f>SUMIFS(Meals!$D$5:$D$152,Meals!$A$5:$A$152,$A11,Meals!$M$5:$M$152,"logged")</f>
        <v/>
      </c>
      <c r="C11" s="8">
        <f>SUMIFS(Meals!$E$5:$E$152,Meals!$A$5:$A$152,$A11,Meals!$M$5:$M$152,"logged")</f>
        <v/>
      </c>
      <c r="D11" s="8">
        <f>AVERAGE(B11:C11)</f>
        <v/>
      </c>
      <c r="E11" s="10">
        <f>SUMIFS(Meals!$G$5:$G$152,Meals!$A$5:$A$152,$A11,Meals!$M$5:$M$152,"logged")</f>
        <v/>
      </c>
      <c r="F11" s="10">
        <f>SUMIFS(Meals!$H$5:$H$152,Meals!$A$5:$A$152,$A11,Meals!$M$5:$M$152,"logged")</f>
        <v/>
      </c>
      <c r="G11" s="10">
        <f>AVERAGE(E11:F11)</f>
        <v/>
      </c>
      <c r="H11" s="10">
        <f>SUMIFS(Meals!$J$5:$J$152,Meals!$A$5:$A$152,$A11,Meals!$M$5:$M$152,"logged")</f>
        <v/>
      </c>
      <c r="I11" s="10">
        <f>SUMIFS(Meals!$K$5:$K$152,Meals!$A$5:$A$152,$A11,Meals!$M$5:$M$152,"logged")</f>
        <v/>
      </c>
      <c r="J11" s="10">
        <f>AVERAGE(H11:I11)</f>
        <v/>
      </c>
      <c r="K11" s="18">
        <f>COUNTIFS(Meals!$A$5:$A$152,$A11,Meals!$M$5:$M$152,"logged")</f>
        <v/>
      </c>
      <c r="L11" s="18">
        <f>COUNTIFS(Meals!$A$5:$A$152,$A11,Meals!$M$5:$M$152,"pending")</f>
        <v/>
      </c>
      <c r="M11" s="19">
        <f>D11-Targets!$B$16</f>
        <v/>
      </c>
    </row>
    <row r="12">
      <c r="A12" s="20" t="n">
        <v>46276</v>
      </c>
      <c r="B12" s="21">
        <f>SUMIFS(Meals!$D$5:$D$152,Meals!$A$5:$A$152,$A12,Meals!$M$5:$M$152,"logged")</f>
        <v/>
      </c>
      <c r="C12" s="21">
        <f>SUMIFS(Meals!$E$5:$E$152,Meals!$A$5:$A$152,$A12,Meals!$M$5:$M$152,"logged")</f>
        <v/>
      </c>
      <c r="D12" s="21">
        <f>AVERAGE(B12:C12)</f>
        <v/>
      </c>
      <c r="E12" s="22">
        <f>SUMIFS(Meals!$G$5:$G$152,Meals!$A$5:$A$152,$A12,Meals!$M$5:$M$152,"logged")</f>
        <v/>
      </c>
      <c r="F12" s="22">
        <f>SUMIFS(Meals!$H$5:$H$152,Meals!$A$5:$A$152,$A12,Meals!$M$5:$M$152,"logged")</f>
        <v/>
      </c>
      <c r="G12" s="22">
        <f>AVERAGE(E12:F12)</f>
        <v/>
      </c>
      <c r="H12" s="22">
        <f>SUMIFS(Meals!$J$5:$J$152,Meals!$A$5:$A$152,$A12,Meals!$M$5:$M$152,"logged")</f>
        <v/>
      </c>
      <c r="I12" s="22">
        <f>SUMIFS(Meals!$K$5:$K$152,Meals!$A$5:$A$152,$A12,Meals!$M$5:$M$152,"logged")</f>
        <v/>
      </c>
      <c r="J12" s="22">
        <f>AVERAGE(H12:I12)</f>
        <v/>
      </c>
      <c r="K12" s="20">
        <f>COUNTIFS(Meals!$A$5:$A$152,$A12,Meals!$M$5:$M$152,"logged")</f>
        <v/>
      </c>
      <c r="L12" s="20">
        <f>COUNTIFS(Meals!$A$5:$A$152,$A12,Meals!$M$5:$M$152,"pending")</f>
        <v/>
      </c>
      <c r="M12" s="23">
        <f>D12-Targets!$B$16</f>
        <v/>
      </c>
    </row>
    <row r="13">
      <c r="A13" s="18" t="n">
        <v>46277</v>
      </c>
      <c r="B13" s="8">
        <f>SUMIFS(Meals!$D$5:$D$152,Meals!$A$5:$A$152,$A13,Meals!$M$5:$M$152,"logged")</f>
        <v/>
      </c>
      <c r="C13" s="8">
        <f>SUMIFS(Meals!$E$5:$E$152,Meals!$A$5:$A$152,$A13,Meals!$M$5:$M$152,"logged")</f>
        <v/>
      </c>
      <c r="D13" s="8">
        <f>AVERAGE(B13:C13)</f>
        <v/>
      </c>
      <c r="E13" s="10">
        <f>SUMIFS(Meals!$G$5:$G$152,Meals!$A$5:$A$152,$A13,Meals!$M$5:$M$152,"logged")</f>
        <v/>
      </c>
      <c r="F13" s="10">
        <f>SUMIFS(Meals!$H$5:$H$152,Meals!$A$5:$A$152,$A13,Meals!$M$5:$M$152,"logged")</f>
        <v/>
      </c>
      <c r="G13" s="10">
        <f>AVERAGE(E13:F13)</f>
        <v/>
      </c>
      <c r="H13" s="10">
        <f>SUMIFS(Meals!$J$5:$J$152,Meals!$A$5:$A$152,$A13,Meals!$M$5:$M$152,"logged")</f>
        <v/>
      </c>
      <c r="I13" s="10">
        <f>SUMIFS(Meals!$K$5:$K$152,Meals!$A$5:$A$152,$A13,Meals!$M$5:$M$152,"logged")</f>
        <v/>
      </c>
      <c r="J13" s="10">
        <f>AVERAGE(H13:I13)</f>
        <v/>
      </c>
      <c r="K13" s="18">
        <f>COUNTIFS(Meals!$A$5:$A$152,$A13,Meals!$M$5:$M$152,"logged")</f>
        <v/>
      </c>
      <c r="L13" s="18">
        <f>COUNTIFS(Meals!$A$5:$A$152,$A13,Meals!$M$5:$M$152,"pending")</f>
        <v/>
      </c>
      <c r="M13" s="19">
        <f>D13-Targets!$B$16</f>
        <v/>
      </c>
    </row>
    <row r="14">
      <c r="A14" s="20" t="n">
        <v>46278</v>
      </c>
      <c r="B14" s="21">
        <f>SUMIFS(Meals!$D$5:$D$152,Meals!$A$5:$A$152,$A14,Meals!$M$5:$M$152,"logged")</f>
        <v/>
      </c>
      <c r="C14" s="21">
        <f>SUMIFS(Meals!$E$5:$E$152,Meals!$A$5:$A$152,$A14,Meals!$M$5:$M$152,"logged")</f>
        <v/>
      </c>
      <c r="D14" s="21">
        <f>AVERAGE(B14:C14)</f>
        <v/>
      </c>
      <c r="E14" s="22">
        <f>SUMIFS(Meals!$G$5:$G$152,Meals!$A$5:$A$152,$A14,Meals!$M$5:$M$152,"logged")</f>
        <v/>
      </c>
      <c r="F14" s="22">
        <f>SUMIFS(Meals!$H$5:$H$152,Meals!$A$5:$A$152,$A14,Meals!$M$5:$M$152,"logged")</f>
        <v/>
      </c>
      <c r="G14" s="22">
        <f>AVERAGE(E14:F14)</f>
        <v/>
      </c>
      <c r="H14" s="22">
        <f>SUMIFS(Meals!$J$5:$J$152,Meals!$A$5:$A$152,$A14,Meals!$M$5:$M$152,"logged")</f>
        <v/>
      </c>
      <c r="I14" s="22">
        <f>SUMIFS(Meals!$K$5:$K$152,Meals!$A$5:$A$152,$A14,Meals!$M$5:$M$152,"logged")</f>
        <v/>
      </c>
      <c r="J14" s="22">
        <f>AVERAGE(H14:I14)</f>
        <v/>
      </c>
      <c r="K14" s="20">
        <f>COUNTIFS(Meals!$A$5:$A$152,$A14,Meals!$M$5:$M$152,"logged")</f>
        <v/>
      </c>
      <c r="L14" s="20">
        <f>COUNTIFS(Meals!$A$5:$A$152,$A14,Meals!$M$5:$M$152,"pending")</f>
        <v/>
      </c>
      <c r="M14" s="23">
        <f>D14-Targets!$B$16</f>
        <v/>
      </c>
    </row>
    <row r="15">
      <c r="A15" s="18" t="n">
        <v>46279</v>
      </c>
      <c r="B15" s="8">
        <f>SUMIFS(Meals!$D$5:$D$152,Meals!$A$5:$A$152,$A15,Meals!$M$5:$M$152,"logged")</f>
        <v/>
      </c>
      <c r="C15" s="8">
        <f>SUMIFS(Meals!$E$5:$E$152,Meals!$A$5:$A$152,$A15,Meals!$M$5:$M$152,"logged")</f>
        <v/>
      </c>
      <c r="D15" s="8">
        <f>AVERAGE(B15:C15)</f>
        <v/>
      </c>
      <c r="E15" s="10">
        <f>SUMIFS(Meals!$G$5:$G$152,Meals!$A$5:$A$152,$A15,Meals!$M$5:$M$152,"logged")</f>
        <v/>
      </c>
      <c r="F15" s="10">
        <f>SUMIFS(Meals!$H$5:$H$152,Meals!$A$5:$A$152,$A15,Meals!$M$5:$M$152,"logged")</f>
        <v/>
      </c>
      <c r="G15" s="10">
        <f>AVERAGE(E15:F15)</f>
        <v/>
      </c>
      <c r="H15" s="10">
        <f>SUMIFS(Meals!$J$5:$J$152,Meals!$A$5:$A$152,$A15,Meals!$M$5:$M$152,"logged")</f>
        <v/>
      </c>
      <c r="I15" s="10">
        <f>SUMIFS(Meals!$K$5:$K$152,Meals!$A$5:$A$152,$A15,Meals!$M$5:$M$152,"logged")</f>
        <v/>
      </c>
      <c r="J15" s="10">
        <f>AVERAGE(H15:I15)</f>
        <v/>
      </c>
      <c r="K15" s="18">
        <f>COUNTIFS(Meals!$A$5:$A$152,$A15,Meals!$M$5:$M$152,"logged")</f>
        <v/>
      </c>
      <c r="L15" s="18">
        <f>COUNTIFS(Meals!$A$5:$A$152,$A15,Meals!$M$5:$M$152,"pending")</f>
        <v/>
      </c>
      <c r="M15" s="19">
        <f>D15-Targets!$B$16</f>
        <v/>
      </c>
    </row>
    <row r="16">
      <c r="A16" s="20" t="n">
        <v>46280</v>
      </c>
      <c r="B16" s="21">
        <f>SUMIFS(Meals!$D$5:$D$152,Meals!$A$5:$A$152,$A16,Meals!$M$5:$M$152,"logged")</f>
        <v/>
      </c>
      <c r="C16" s="21">
        <f>SUMIFS(Meals!$E$5:$E$152,Meals!$A$5:$A$152,$A16,Meals!$M$5:$M$152,"logged")</f>
        <v/>
      </c>
      <c r="D16" s="21">
        <f>AVERAGE(B16:C16)</f>
        <v/>
      </c>
      <c r="E16" s="22">
        <f>SUMIFS(Meals!$G$5:$G$152,Meals!$A$5:$A$152,$A16,Meals!$M$5:$M$152,"logged")</f>
        <v/>
      </c>
      <c r="F16" s="22">
        <f>SUMIFS(Meals!$H$5:$H$152,Meals!$A$5:$A$152,$A16,Meals!$M$5:$M$152,"logged")</f>
        <v/>
      </c>
      <c r="G16" s="22">
        <f>AVERAGE(E16:F16)</f>
        <v/>
      </c>
      <c r="H16" s="22">
        <f>SUMIFS(Meals!$J$5:$J$152,Meals!$A$5:$A$152,$A16,Meals!$M$5:$M$152,"logged")</f>
        <v/>
      </c>
      <c r="I16" s="22">
        <f>SUMIFS(Meals!$K$5:$K$152,Meals!$A$5:$A$152,$A16,Meals!$M$5:$M$152,"logged")</f>
        <v/>
      </c>
      <c r="J16" s="22">
        <f>AVERAGE(H16:I16)</f>
        <v/>
      </c>
      <c r="K16" s="20">
        <f>COUNTIFS(Meals!$A$5:$A$152,$A16,Meals!$M$5:$M$152,"logged")</f>
        <v/>
      </c>
      <c r="L16" s="20">
        <f>COUNTIFS(Meals!$A$5:$A$152,$A16,Meals!$M$5:$M$152,"pending")</f>
        <v/>
      </c>
      <c r="M16" s="23">
        <f>D16-Targets!$B$16</f>
        <v/>
      </c>
    </row>
    <row r="17">
      <c r="A17" s="18" t="n">
        <v>46281</v>
      </c>
      <c r="B17" s="8">
        <f>SUMIFS(Meals!$D$5:$D$152,Meals!$A$5:$A$152,$A17,Meals!$M$5:$M$152,"logged")</f>
        <v/>
      </c>
      <c r="C17" s="8">
        <f>SUMIFS(Meals!$E$5:$E$152,Meals!$A$5:$A$152,$A17,Meals!$M$5:$M$152,"logged")</f>
        <v/>
      </c>
      <c r="D17" s="8">
        <f>AVERAGE(B17:C17)</f>
        <v/>
      </c>
      <c r="E17" s="10">
        <f>SUMIFS(Meals!$G$5:$G$152,Meals!$A$5:$A$152,$A17,Meals!$M$5:$M$152,"logged")</f>
        <v/>
      </c>
      <c r="F17" s="10">
        <f>SUMIFS(Meals!$H$5:$H$152,Meals!$A$5:$A$152,$A17,Meals!$M$5:$M$152,"logged")</f>
        <v/>
      </c>
      <c r="G17" s="10">
        <f>AVERAGE(E17:F17)</f>
        <v/>
      </c>
      <c r="H17" s="10">
        <f>SUMIFS(Meals!$J$5:$J$152,Meals!$A$5:$A$152,$A17,Meals!$M$5:$M$152,"logged")</f>
        <v/>
      </c>
      <c r="I17" s="10">
        <f>SUMIFS(Meals!$K$5:$K$152,Meals!$A$5:$A$152,$A17,Meals!$M$5:$M$152,"logged")</f>
        <v/>
      </c>
      <c r="J17" s="10">
        <f>AVERAGE(H17:I17)</f>
        <v/>
      </c>
      <c r="K17" s="18">
        <f>COUNTIFS(Meals!$A$5:$A$152,$A17,Meals!$M$5:$M$152,"logged")</f>
        <v/>
      </c>
      <c r="L17" s="18">
        <f>COUNTIFS(Meals!$A$5:$A$152,$A17,Meals!$M$5:$M$152,"pending")</f>
        <v/>
      </c>
      <c r="M17" s="19">
        <f>D17-Targets!$B$16</f>
        <v/>
      </c>
    </row>
    <row r="18">
      <c r="A18" s="20" t="n">
        <v>46282</v>
      </c>
      <c r="B18" s="21">
        <f>SUMIFS(Meals!$D$5:$D$152,Meals!$A$5:$A$152,$A18,Meals!$M$5:$M$152,"logged")</f>
        <v/>
      </c>
      <c r="C18" s="21">
        <f>SUMIFS(Meals!$E$5:$E$152,Meals!$A$5:$A$152,$A18,Meals!$M$5:$M$152,"logged")</f>
        <v/>
      </c>
      <c r="D18" s="21">
        <f>AVERAGE(B18:C18)</f>
        <v/>
      </c>
      <c r="E18" s="22">
        <f>SUMIFS(Meals!$G$5:$G$152,Meals!$A$5:$A$152,$A18,Meals!$M$5:$M$152,"logged")</f>
        <v/>
      </c>
      <c r="F18" s="22">
        <f>SUMIFS(Meals!$H$5:$H$152,Meals!$A$5:$A$152,$A18,Meals!$M$5:$M$152,"logged")</f>
        <v/>
      </c>
      <c r="G18" s="22">
        <f>AVERAGE(E18:F18)</f>
        <v/>
      </c>
      <c r="H18" s="22">
        <f>SUMIFS(Meals!$J$5:$J$152,Meals!$A$5:$A$152,$A18,Meals!$M$5:$M$152,"logged")</f>
        <v/>
      </c>
      <c r="I18" s="22">
        <f>SUMIFS(Meals!$K$5:$K$152,Meals!$A$5:$A$152,$A18,Meals!$M$5:$M$152,"logged")</f>
        <v/>
      </c>
      <c r="J18" s="22">
        <f>AVERAGE(H18:I18)</f>
        <v/>
      </c>
      <c r="K18" s="20">
        <f>COUNTIFS(Meals!$A$5:$A$152,$A18,Meals!$M$5:$M$152,"logged")</f>
        <v/>
      </c>
      <c r="L18" s="20">
        <f>COUNTIFS(Meals!$A$5:$A$152,$A18,Meals!$M$5:$M$152,"pending")</f>
        <v/>
      </c>
      <c r="M18" s="23">
        <f>D18-Targets!$B$16</f>
        <v/>
      </c>
    </row>
    <row r="19">
      <c r="A19" s="18" t="n">
        <v>46283</v>
      </c>
      <c r="B19" s="8">
        <f>SUMIFS(Meals!$D$5:$D$152,Meals!$A$5:$A$152,$A19,Meals!$M$5:$M$152,"logged")</f>
        <v/>
      </c>
      <c r="C19" s="8">
        <f>SUMIFS(Meals!$E$5:$E$152,Meals!$A$5:$A$152,$A19,Meals!$M$5:$M$152,"logged")</f>
        <v/>
      </c>
      <c r="D19" s="8">
        <f>AVERAGE(B19:C19)</f>
        <v/>
      </c>
      <c r="E19" s="10">
        <f>SUMIFS(Meals!$G$5:$G$152,Meals!$A$5:$A$152,$A19,Meals!$M$5:$M$152,"logged")</f>
        <v/>
      </c>
      <c r="F19" s="10">
        <f>SUMIFS(Meals!$H$5:$H$152,Meals!$A$5:$A$152,$A19,Meals!$M$5:$M$152,"logged")</f>
        <v/>
      </c>
      <c r="G19" s="10">
        <f>AVERAGE(E19:F19)</f>
        <v/>
      </c>
      <c r="H19" s="10">
        <f>SUMIFS(Meals!$J$5:$J$152,Meals!$A$5:$A$152,$A19,Meals!$M$5:$M$152,"logged")</f>
        <v/>
      </c>
      <c r="I19" s="10">
        <f>SUMIFS(Meals!$K$5:$K$152,Meals!$A$5:$A$152,$A19,Meals!$M$5:$M$152,"logged")</f>
        <v/>
      </c>
      <c r="J19" s="10">
        <f>AVERAGE(H19:I19)</f>
        <v/>
      </c>
      <c r="K19" s="18">
        <f>COUNTIFS(Meals!$A$5:$A$152,$A19,Meals!$M$5:$M$152,"logged")</f>
        <v/>
      </c>
      <c r="L19" s="18">
        <f>COUNTIFS(Meals!$A$5:$A$152,$A19,Meals!$M$5:$M$152,"pending")</f>
        <v/>
      </c>
      <c r="M19" s="19">
        <f>D19-Targets!$B$16</f>
        <v/>
      </c>
    </row>
    <row r="20">
      <c r="A20" s="20" t="n">
        <v>46284</v>
      </c>
      <c r="B20" s="21">
        <f>SUMIFS(Meals!$D$5:$D$152,Meals!$A$5:$A$152,$A20,Meals!$M$5:$M$152,"logged")</f>
        <v/>
      </c>
      <c r="C20" s="21">
        <f>SUMIFS(Meals!$E$5:$E$152,Meals!$A$5:$A$152,$A20,Meals!$M$5:$M$152,"logged")</f>
        <v/>
      </c>
      <c r="D20" s="21">
        <f>AVERAGE(B20:C20)</f>
        <v/>
      </c>
      <c r="E20" s="22">
        <f>SUMIFS(Meals!$G$5:$G$152,Meals!$A$5:$A$152,$A20,Meals!$M$5:$M$152,"logged")</f>
        <v/>
      </c>
      <c r="F20" s="22">
        <f>SUMIFS(Meals!$H$5:$H$152,Meals!$A$5:$A$152,$A20,Meals!$M$5:$M$152,"logged")</f>
        <v/>
      </c>
      <c r="G20" s="22">
        <f>AVERAGE(E20:F20)</f>
        <v/>
      </c>
      <c r="H20" s="22">
        <f>SUMIFS(Meals!$J$5:$J$152,Meals!$A$5:$A$152,$A20,Meals!$M$5:$M$152,"logged")</f>
        <v/>
      </c>
      <c r="I20" s="22">
        <f>SUMIFS(Meals!$K$5:$K$152,Meals!$A$5:$A$152,$A20,Meals!$M$5:$M$152,"logged")</f>
        <v/>
      </c>
      <c r="J20" s="22">
        <f>AVERAGE(H20:I20)</f>
        <v/>
      </c>
      <c r="K20" s="20">
        <f>COUNTIFS(Meals!$A$5:$A$152,$A20,Meals!$M$5:$M$152,"logged")</f>
        <v/>
      </c>
      <c r="L20" s="20">
        <f>COUNTIFS(Meals!$A$5:$A$152,$A20,Meals!$M$5:$M$152,"pending")</f>
        <v/>
      </c>
      <c r="M20" s="23">
        <f>D20-Targets!$B$16</f>
        <v/>
      </c>
    </row>
    <row r="21">
      <c r="A21" s="18" t="n">
        <v>46285</v>
      </c>
      <c r="B21" s="8">
        <f>SUMIFS(Meals!$D$5:$D$152,Meals!$A$5:$A$152,$A21,Meals!$M$5:$M$152,"logged")</f>
        <v/>
      </c>
      <c r="C21" s="8">
        <f>SUMIFS(Meals!$E$5:$E$152,Meals!$A$5:$A$152,$A21,Meals!$M$5:$M$152,"logged")</f>
        <v/>
      </c>
      <c r="D21" s="8">
        <f>AVERAGE(B21:C21)</f>
        <v/>
      </c>
      <c r="E21" s="10">
        <f>SUMIFS(Meals!$G$5:$G$152,Meals!$A$5:$A$152,$A21,Meals!$M$5:$M$152,"logged")</f>
        <v/>
      </c>
      <c r="F21" s="10">
        <f>SUMIFS(Meals!$H$5:$H$152,Meals!$A$5:$A$152,$A21,Meals!$M$5:$M$152,"logged")</f>
        <v/>
      </c>
      <c r="G21" s="10">
        <f>AVERAGE(E21:F21)</f>
        <v/>
      </c>
      <c r="H21" s="10">
        <f>SUMIFS(Meals!$J$5:$J$152,Meals!$A$5:$A$152,$A21,Meals!$M$5:$M$152,"logged")</f>
        <v/>
      </c>
      <c r="I21" s="10">
        <f>SUMIFS(Meals!$K$5:$K$152,Meals!$A$5:$A$152,$A21,Meals!$M$5:$M$152,"logged")</f>
        <v/>
      </c>
      <c r="J21" s="10">
        <f>AVERAGE(H21:I21)</f>
        <v/>
      </c>
      <c r="K21" s="18">
        <f>COUNTIFS(Meals!$A$5:$A$152,$A21,Meals!$M$5:$M$152,"logged")</f>
        <v/>
      </c>
      <c r="L21" s="18">
        <f>COUNTIFS(Meals!$A$5:$A$152,$A21,Meals!$M$5:$M$152,"pending")</f>
        <v/>
      </c>
      <c r="M21" s="19">
        <f>D21-Targets!$B$16</f>
        <v/>
      </c>
    </row>
    <row r="22">
      <c r="A22" s="20" t="n">
        <v>46286</v>
      </c>
      <c r="B22" s="21">
        <f>SUMIFS(Meals!$D$5:$D$152,Meals!$A$5:$A$152,$A22,Meals!$M$5:$M$152,"logged")</f>
        <v/>
      </c>
      <c r="C22" s="21">
        <f>SUMIFS(Meals!$E$5:$E$152,Meals!$A$5:$A$152,$A22,Meals!$M$5:$M$152,"logged")</f>
        <v/>
      </c>
      <c r="D22" s="21">
        <f>AVERAGE(B22:C22)</f>
        <v/>
      </c>
      <c r="E22" s="22">
        <f>SUMIFS(Meals!$G$5:$G$152,Meals!$A$5:$A$152,$A22,Meals!$M$5:$M$152,"logged")</f>
        <v/>
      </c>
      <c r="F22" s="22">
        <f>SUMIFS(Meals!$H$5:$H$152,Meals!$A$5:$A$152,$A22,Meals!$M$5:$M$152,"logged")</f>
        <v/>
      </c>
      <c r="G22" s="22">
        <f>AVERAGE(E22:F22)</f>
        <v/>
      </c>
      <c r="H22" s="22">
        <f>SUMIFS(Meals!$J$5:$J$152,Meals!$A$5:$A$152,$A22,Meals!$M$5:$M$152,"logged")</f>
        <v/>
      </c>
      <c r="I22" s="22">
        <f>SUMIFS(Meals!$K$5:$K$152,Meals!$A$5:$A$152,$A22,Meals!$M$5:$M$152,"logged")</f>
        <v/>
      </c>
      <c r="J22" s="22">
        <f>AVERAGE(H22:I22)</f>
        <v/>
      </c>
      <c r="K22" s="20">
        <f>COUNTIFS(Meals!$A$5:$A$152,$A22,Meals!$M$5:$M$152,"logged")</f>
        <v/>
      </c>
      <c r="L22" s="20">
        <f>COUNTIFS(Meals!$A$5:$A$152,$A22,Meals!$M$5:$M$152,"pending")</f>
        <v/>
      </c>
      <c r="M22" s="23">
        <f>D22-Targets!$B$16</f>
        <v/>
      </c>
    </row>
    <row r="23">
      <c r="A23" s="18" t="n">
        <v>46287</v>
      </c>
      <c r="B23" s="8">
        <f>SUMIFS(Meals!$D$5:$D$152,Meals!$A$5:$A$152,$A23,Meals!$M$5:$M$152,"logged")</f>
        <v/>
      </c>
      <c r="C23" s="8">
        <f>SUMIFS(Meals!$E$5:$E$152,Meals!$A$5:$A$152,$A23,Meals!$M$5:$M$152,"logged")</f>
        <v/>
      </c>
      <c r="D23" s="8">
        <f>AVERAGE(B23:C23)</f>
        <v/>
      </c>
      <c r="E23" s="10">
        <f>SUMIFS(Meals!$G$5:$G$152,Meals!$A$5:$A$152,$A23,Meals!$M$5:$M$152,"logged")</f>
        <v/>
      </c>
      <c r="F23" s="10">
        <f>SUMIFS(Meals!$H$5:$H$152,Meals!$A$5:$A$152,$A23,Meals!$M$5:$M$152,"logged")</f>
        <v/>
      </c>
      <c r="G23" s="10">
        <f>AVERAGE(E23:F23)</f>
        <v/>
      </c>
      <c r="H23" s="10">
        <f>SUMIFS(Meals!$J$5:$J$152,Meals!$A$5:$A$152,$A23,Meals!$M$5:$M$152,"logged")</f>
        <v/>
      </c>
      <c r="I23" s="10">
        <f>SUMIFS(Meals!$K$5:$K$152,Meals!$A$5:$A$152,$A23,Meals!$M$5:$M$152,"logged")</f>
        <v/>
      </c>
      <c r="J23" s="10">
        <f>AVERAGE(H23:I23)</f>
        <v/>
      </c>
      <c r="K23" s="18">
        <f>COUNTIFS(Meals!$A$5:$A$152,$A23,Meals!$M$5:$M$152,"logged")</f>
        <v/>
      </c>
      <c r="L23" s="18">
        <f>COUNTIFS(Meals!$A$5:$A$152,$A23,Meals!$M$5:$M$152,"pending")</f>
        <v/>
      </c>
      <c r="M23" s="19">
        <f>D23-Targets!$B$16</f>
        <v/>
      </c>
    </row>
    <row r="24">
      <c r="A24" s="20" t="n">
        <v>46288</v>
      </c>
      <c r="B24" s="21">
        <f>SUMIFS(Meals!$D$5:$D$152,Meals!$A$5:$A$152,$A24,Meals!$M$5:$M$152,"logged")</f>
        <v/>
      </c>
      <c r="C24" s="21">
        <f>SUMIFS(Meals!$E$5:$E$152,Meals!$A$5:$A$152,$A24,Meals!$M$5:$M$152,"logged")</f>
        <v/>
      </c>
      <c r="D24" s="21">
        <f>AVERAGE(B24:C24)</f>
        <v/>
      </c>
      <c r="E24" s="22">
        <f>SUMIFS(Meals!$G$5:$G$152,Meals!$A$5:$A$152,$A24,Meals!$M$5:$M$152,"logged")</f>
        <v/>
      </c>
      <c r="F24" s="22">
        <f>SUMIFS(Meals!$H$5:$H$152,Meals!$A$5:$A$152,$A24,Meals!$M$5:$M$152,"logged")</f>
        <v/>
      </c>
      <c r="G24" s="22">
        <f>AVERAGE(E24:F24)</f>
        <v/>
      </c>
      <c r="H24" s="22">
        <f>SUMIFS(Meals!$J$5:$J$152,Meals!$A$5:$A$152,$A24,Meals!$M$5:$M$152,"logged")</f>
        <v/>
      </c>
      <c r="I24" s="22">
        <f>SUMIFS(Meals!$K$5:$K$152,Meals!$A$5:$A$152,$A24,Meals!$M$5:$M$152,"logged")</f>
        <v/>
      </c>
      <c r="J24" s="22">
        <f>AVERAGE(H24:I24)</f>
        <v/>
      </c>
      <c r="K24" s="20">
        <f>COUNTIFS(Meals!$A$5:$A$152,$A24,Meals!$M$5:$M$152,"logged")</f>
        <v/>
      </c>
      <c r="L24" s="20">
        <f>COUNTIFS(Meals!$A$5:$A$152,$A24,Meals!$M$5:$M$152,"pending")</f>
        <v/>
      </c>
      <c r="M24" s="23">
        <f>D24-Targets!$B$16</f>
        <v/>
      </c>
    </row>
    <row r="25">
      <c r="A25" s="18" t="n">
        <v>46289</v>
      </c>
      <c r="B25" s="8">
        <f>SUMIFS(Meals!$D$5:$D$152,Meals!$A$5:$A$152,$A25,Meals!$M$5:$M$152,"logged")</f>
        <v/>
      </c>
      <c r="C25" s="8">
        <f>SUMIFS(Meals!$E$5:$E$152,Meals!$A$5:$A$152,$A25,Meals!$M$5:$M$152,"logged")</f>
        <v/>
      </c>
      <c r="D25" s="8">
        <f>AVERAGE(B25:C25)</f>
        <v/>
      </c>
      <c r="E25" s="10">
        <f>SUMIFS(Meals!$G$5:$G$152,Meals!$A$5:$A$152,$A25,Meals!$M$5:$M$152,"logged")</f>
        <v/>
      </c>
      <c r="F25" s="10">
        <f>SUMIFS(Meals!$H$5:$H$152,Meals!$A$5:$A$152,$A25,Meals!$M$5:$M$152,"logged")</f>
        <v/>
      </c>
      <c r="G25" s="10">
        <f>AVERAGE(E25:F25)</f>
        <v/>
      </c>
      <c r="H25" s="10">
        <f>SUMIFS(Meals!$J$5:$J$152,Meals!$A$5:$A$152,$A25,Meals!$M$5:$M$152,"logged")</f>
        <v/>
      </c>
      <c r="I25" s="10">
        <f>SUMIFS(Meals!$K$5:$K$152,Meals!$A$5:$A$152,$A25,Meals!$M$5:$M$152,"logged")</f>
        <v/>
      </c>
      <c r="J25" s="10">
        <f>AVERAGE(H25:I25)</f>
        <v/>
      </c>
      <c r="K25" s="18">
        <f>COUNTIFS(Meals!$A$5:$A$152,$A25,Meals!$M$5:$M$152,"logged")</f>
        <v/>
      </c>
      <c r="L25" s="18">
        <f>COUNTIFS(Meals!$A$5:$A$152,$A25,Meals!$M$5:$M$152,"pending")</f>
        <v/>
      </c>
      <c r="M25" s="19">
        <f>D25-Targets!$B$16</f>
        <v/>
      </c>
    </row>
    <row r="26">
      <c r="A26" s="20" t="n">
        <v>46290</v>
      </c>
      <c r="B26" s="21">
        <f>SUMIFS(Meals!$D$5:$D$152,Meals!$A$5:$A$152,$A26,Meals!$M$5:$M$152,"logged")</f>
        <v/>
      </c>
      <c r="C26" s="21">
        <f>SUMIFS(Meals!$E$5:$E$152,Meals!$A$5:$A$152,$A26,Meals!$M$5:$M$152,"logged")</f>
        <v/>
      </c>
      <c r="D26" s="21">
        <f>AVERAGE(B26:C26)</f>
        <v/>
      </c>
      <c r="E26" s="22">
        <f>SUMIFS(Meals!$G$5:$G$152,Meals!$A$5:$A$152,$A26,Meals!$M$5:$M$152,"logged")</f>
        <v/>
      </c>
      <c r="F26" s="22">
        <f>SUMIFS(Meals!$H$5:$H$152,Meals!$A$5:$A$152,$A26,Meals!$M$5:$M$152,"logged")</f>
        <v/>
      </c>
      <c r="G26" s="22">
        <f>AVERAGE(E26:F26)</f>
        <v/>
      </c>
      <c r="H26" s="22">
        <f>SUMIFS(Meals!$J$5:$J$152,Meals!$A$5:$A$152,$A26,Meals!$M$5:$M$152,"logged")</f>
        <v/>
      </c>
      <c r="I26" s="22">
        <f>SUMIFS(Meals!$K$5:$K$152,Meals!$A$5:$A$152,$A26,Meals!$M$5:$M$152,"logged")</f>
        <v/>
      </c>
      <c r="J26" s="22">
        <f>AVERAGE(H26:I26)</f>
        <v/>
      </c>
      <c r="K26" s="20">
        <f>COUNTIFS(Meals!$A$5:$A$152,$A26,Meals!$M$5:$M$152,"logged")</f>
        <v/>
      </c>
      <c r="L26" s="20">
        <f>COUNTIFS(Meals!$A$5:$A$152,$A26,Meals!$M$5:$M$152,"pending")</f>
        <v/>
      </c>
      <c r="M26" s="23">
        <f>D26-Targets!$B$16</f>
        <v/>
      </c>
    </row>
    <row r="27">
      <c r="A27" s="18" t="n">
        <v>46291</v>
      </c>
      <c r="B27" s="8">
        <f>SUMIFS(Meals!$D$5:$D$152,Meals!$A$5:$A$152,$A27,Meals!$M$5:$M$152,"logged")</f>
        <v/>
      </c>
      <c r="C27" s="8">
        <f>SUMIFS(Meals!$E$5:$E$152,Meals!$A$5:$A$152,$A27,Meals!$M$5:$M$152,"logged")</f>
        <v/>
      </c>
      <c r="D27" s="8">
        <f>AVERAGE(B27:C27)</f>
        <v/>
      </c>
      <c r="E27" s="10">
        <f>SUMIFS(Meals!$G$5:$G$152,Meals!$A$5:$A$152,$A27,Meals!$M$5:$M$152,"logged")</f>
        <v/>
      </c>
      <c r="F27" s="10">
        <f>SUMIFS(Meals!$H$5:$H$152,Meals!$A$5:$A$152,$A27,Meals!$M$5:$M$152,"logged")</f>
        <v/>
      </c>
      <c r="G27" s="10">
        <f>AVERAGE(E27:F27)</f>
        <v/>
      </c>
      <c r="H27" s="10">
        <f>SUMIFS(Meals!$J$5:$J$152,Meals!$A$5:$A$152,$A27,Meals!$M$5:$M$152,"logged")</f>
        <v/>
      </c>
      <c r="I27" s="10">
        <f>SUMIFS(Meals!$K$5:$K$152,Meals!$A$5:$A$152,$A27,Meals!$M$5:$M$152,"logged")</f>
        <v/>
      </c>
      <c r="J27" s="10">
        <f>AVERAGE(H27:I27)</f>
        <v/>
      </c>
      <c r="K27" s="18">
        <f>COUNTIFS(Meals!$A$5:$A$152,$A27,Meals!$M$5:$M$152,"logged")</f>
        <v/>
      </c>
      <c r="L27" s="18">
        <f>COUNTIFS(Meals!$A$5:$A$152,$A27,Meals!$M$5:$M$152,"pending")</f>
        <v/>
      </c>
      <c r="M27" s="19">
        <f>D27-Targets!$B$16</f>
        <v/>
      </c>
    </row>
    <row r="28">
      <c r="A28" s="20" t="n">
        <v>46292</v>
      </c>
      <c r="B28" s="21">
        <f>SUMIFS(Meals!$D$5:$D$152,Meals!$A$5:$A$152,$A28,Meals!$M$5:$M$152,"logged")</f>
        <v/>
      </c>
      <c r="C28" s="21">
        <f>SUMIFS(Meals!$E$5:$E$152,Meals!$A$5:$A$152,$A28,Meals!$M$5:$M$152,"logged")</f>
        <v/>
      </c>
      <c r="D28" s="21">
        <f>AVERAGE(B28:C28)</f>
        <v/>
      </c>
      <c r="E28" s="22">
        <f>SUMIFS(Meals!$G$5:$G$152,Meals!$A$5:$A$152,$A28,Meals!$M$5:$M$152,"logged")</f>
        <v/>
      </c>
      <c r="F28" s="22">
        <f>SUMIFS(Meals!$H$5:$H$152,Meals!$A$5:$A$152,$A28,Meals!$M$5:$M$152,"logged")</f>
        <v/>
      </c>
      <c r="G28" s="22">
        <f>AVERAGE(E28:F28)</f>
        <v/>
      </c>
      <c r="H28" s="22">
        <f>SUMIFS(Meals!$J$5:$J$152,Meals!$A$5:$A$152,$A28,Meals!$M$5:$M$152,"logged")</f>
        <v/>
      </c>
      <c r="I28" s="22">
        <f>SUMIFS(Meals!$K$5:$K$152,Meals!$A$5:$A$152,$A28,Meals!$M$5:$M$152,"logged")</f>
        <v/>
      </c>
      <c r="J28" s="22">
        <f>AVERAGE(H28:I28)</f>
        <v/>
      </c>
      <c r="K28" s="20">
        <f>COUNTIFS(Meals!$A$5:$A$152,$A28,Meals!$M$5:$M$152,"logged")</f>
        <v/>
      </c>
      <c r="L28" s="20">
        <f>COUNTIFS(Meals!$A$5:$A$152,$A28,Meals!$M$5:$M$152,"pending")</f>
        <v/>
      </c>
      <c r="M28" s="23">
        <f>D28-Targets!$B$16</f>
        <v/>
      </c>
    </row>
    <row r="29">
      <c r="A29" s="18" t="n">
        <v>46293</v>
      </c>
      <c r="B29" s="8">
        <f>SUMIFS(Meals!$D$5:$D$152,Meals!$A$5:$A$152,$A29,Meals!$M$5:$M$152,"logged")</f>
        <v/>
      </c>
      <c r="C29" s="8">
        <f>SUMIFS(Meals!$E$5:$E$152,Meals!$A$5:$A$152,$A29,Meals!$M$5:$M$152,"logged")</f>
        <v/>
      </c>
      <c r="D29" s="8">
        <f>AVERAGE(B29:C29)</f>
        <v/>
      </c>
      <c r="E29" s="10">
        <f>SUMIFS(Meals!$G$5:$G$152,Meals!$A$5:$A$152,$A29,Meals!$M$5:$M$152,"logged")</f>
        <v/>
      </c>
      <c r="F29" s="10">
        <f>SUMIFS(Meals!$H$5:$H$152,Meals!$A$5:$A$152,$A29,Meals!$M$5:$M$152,"logged")</f>
        <v/>
      </c>
      <c r="G29" s="10">
        <f>AVERAGE(E29:F29)</f>
        <v/>
      </c>
      <c r="H29" s="10">
        <f>SUMIFS(Meals!$J$5:$J$152,Meals!$A$5:$A$152,$A29,Meals!$M$5:$M$152,"logged")</f>
        <v/>
      </c>
      <c r="I29" s="10">
        <f>SUMIFS(Meals!$K$5:$K$152,Meals!$A$5:$A$152,$A29,Meals!$M$5:$M$152,"logged")</f>
        <v/>
      </c>
      <c r="J29" s="10">
        <f>AVERAGE(H29:I29)</f>
        <v/>
      </c>
      <c r="K29" s="18">
        <f>COUNTIFS(Meals!$A$5:$A$152,$A29,Meals!$M$5:$M$152,"logged")</f>
        <v/>
      </c>
      <c r="L29" s="18">
        <f>COUNTIFS(Meals!$A$5:$A$152,$A29,Meals!$M$5:$M$152,"pending")</f>
        <v/>
      </c>
      <c r="M29" s="19">
        <f>D29-Targets!$B$16</f>
        <v/>
      </c>
    </row>
    <row r="30">
      <c r="A30" s="20" t="n">
        <v>46294</v>
      </c>
      <c r="B30" s="21">
        <f>SUMIFS(Meals!$D$5:$D$152,Meals!$A$5:$A$152,$A30,Meals!$M$5:$M$152,"logged")</f>
        <v/>
      </c>
      <c r="C30" s="21">
        <f>SUMIFS(Meals!$E$5:$E$152,Meals!$A$5:$A$152,$A30,Meals!$M$5:$M$152,"logged")</f>
        <v/>
      </c>
      <c r="D30" s="21">
        <f>AVERAGE(B30:C30)</f>
        <v/>
      </c>
      <c r="E30" s="22">
        <f>SUMIFS(Meals!$G$5:$G$152,Meals!$A$5:$A$152,$A30,Meals!$M$5:$M$152,"logged")</f>
        <v/>
      </c>
      <c r="F30" s="22">
        <f>SUMIFS(Meals!$H$5:$H$152,Meals!$A$5:$A$152,$A30,Meals!$M$5:$M$152,"logged")</f>
        <v/>
      </c>
      <c r="G30" s="22">
        <f>AVERAGE(E30:F30)</f>
        <v/>
      </c>
      <c r="H30" s="22">
        <f>SUMIFS(Meals!$J$5:$J$152,Meals!$A$5:$A$152,$A30,Meals!$M$5:$M$152,"logged")</f>
        <v/>
      </c>
      <c r="I30" s="22">
        <f>SUMIFS(Meals!$K$5:$K$152,Meals!$A$5:$A$152,$A30,Meals!$M$5:$M$152,"logged")</f>
        <v/>
      </c>
      <c r="J30" s="22">
        <f>AVERAGE(H30:I30)</f>
        <v/>
      </c>
      <c r="K30" s="20">
        <f>COUNTIFS(Meals!$A$5:$A$152,$A30,Meals!$M$5:$M$152,"logged")</f>
        <v/>
      </c>
      <c r="L30" s="20">
        <f>COUNTIFS(Meals!$A$5:$A$152,$A30,Meals!$M$5:$M$152,"pending")</f>
        <v/>
      </c>
      <c r="M30" s="23">
        <f>D30-Targets!$B$16</f>
        <v/>
      </c>
    </row>
    <row r="31">
      <c r="A31" s="18" t="n">
        <v>46295</v>
      </c>
      <c r="B31" s="8">
        <f>SUMIFS(Meals!$D$5:$D$152,Meals!$A$5:$A$152,$A31,Meals!$M$5:$M$152,"logged")</f>
        <v/>
      </c>
      <c r="C31" s="8">
        <f>SUMIFS(Meals!$E$5:$E$152,Meals!$A$5:$A$152,$A31,Meals!$M$5:$M$152,"logged")</f>
        <v/>
      </c>
      <c r="D31" s="8">
        <f>AVERAGE(B31:C31)</f>
        <v/>
      </c>
      <c r="E31" s="10">
        <f>SUMIFS(Meals!$G$5:$G$152,Meals!$A$5:$A$152,$A31,Meals!$M$5:$M$152,"logged")</f>
        <v/>
      </c>
      <c r="F31" s="10">
        <f>SUMIFS(Meals!$H$5:$H$152,Meals!$A$5:$A$152,$A31,Meals!$M$5:$M$152,"logged")</f>
        <v/>
      </c>
      <c r="G31" s="10">
        <f>AVERAGE(E31:F31)</f>
        <v/>
      </c>
      <c r="H31" s="10">
        <f>SUMIFS(Meals!$J$5:$J$152,Meals!$A$5:$A$152,$A31,Meals!$M$5:$M$152,"logged")</f>
        <v/>
      </c>
      <c r="I31" s="10">
        <f>SUMIFS(Meals!$K$5:$K$152,Meals!$A$5:$A$152,$A31,Meals!$M$5:$M$152,"logged")</f>
        <v/>
      </c>
      <c r="J31" s="10">
        <f>AVERAGE(H31:I31)</f>
        <v/>
      </c>
      <c r="K31" s="18">
        <f>COUNTIFS(Meals!$A$5:$A$152,$A31,Meals!$M$5:$M$152,"logged")</f>
        <v/>
      </c>
      <c r="L31" s="18">
        <f>COUNTIFS(Meals!$A$5:$A$152,$A31,Meals!$M$5:$M$152,"pending")</f>
        <v/>
      </c>
      <c r="M31" s="19">
        <f>D31-Targets!$B$16</f>
        <v/>
      </c>
    </row>
    <row r="32">
      <c r="A32" s="20" t="n">
        <v>46297</v>
      </c>
      <c r="B32" s="21">
        <f>SUMIFS(Meals!$D$5:$D$152,Meals!$A$5:$A$152,$A32,Meals!$M$5:$M$152,"logged")</f>
        <v/>
      </c>
      <c r="C32" s="21">
        <f>SUMIFS(Meals!$E$5:$E$152,Meals!$A$5:$A$152,$A32,Meals!$M$5:$M$152,"logged")</f>
        <v/>
      </c>
      <c r="D32" s="21">
        <f>AVERAGE(B32:C32)</f>
        <v/>
      </c>
      <c r="E32" s="22">
        <f>SUMIFS(Meals!$G$5:$G$152,Meals!$A$5:$A$152,$A32,Meals!$M$5:$M$152,"logged")</f>
        <v/>
      </c>
      <c r="F32" s="22">
        <f>SUMIFS(Meals!$H$5:$H$152,Meals!$A$5:$A$152,$A32,Meals!$M$5:$M$152,"logged")</f>
        <v/>
      </c>
      <c r="G32" s="22">
        <f>AVERAGE(E32:F32)</f>
        <v/>
      </c>
      <c r="H32" s="22">
        <f>SUMIFS(Meals!$J$5:$J$152,Meals!$A$5:$A$152,$A32,Meals!$M$5:$M$152,"logged")</f>
        <v/>
      </c>
      <c r="I32" s="22">
        <f>SUMIFS(Meals!$K$5:$K$152,Meals!$A$5:$A$152,$A32,Meals!$M$5:$M$152,"logged")</f>
        <v/>
      </c>
      <c r="J32" s="22">
        <f>AVERAGE(H32:I32)</f>
        <v/>
      </c>
      <c r="K32" s="20">
        <f>COUNTIFS(Meals!$A$5:$A$152,$A32,Meals!$M$5:$M$152,"logged")</f>
        <v/>
      </c>
      <c r="L32" s="20">
        <f>COUNTIFS(Meals!$A$5:$A$152,$A32,Meals!$M$5:$M$152,"pending")</f>
        <v/>
      </c>
      <c r="M32" s="23">
        <f>D32-Targets!$B$16</f>
        <v/>
      </c>
    </row>
    <row r="33">
      <c r="A33" s="18" t="n">
        <v>46298</v>
      </c>
      <c r="B33" s="8">
        <f>SUMIFS(Meals!$D$5:$D$152,Meals!$A$5:$A$152,$A33,Meals!$M$5:$M$152,"logged")</f>
        <v/>
      </c>
      <c r="C33" s="8">
        <f>SUMIFS(Meals!$E$5:$E$152,Meals!$A$5:$A$152,$A33,Meals!$M$5:$M$152,"logged")</f>
        <v/>
      </c>
      <c r="D33" s="8">
        <f>AVERAGE(B33:C33)</f>
        <v/>
      </c>
      <c r="E33" s="10">
        <f>SUMIFS(Meals!$G$5:$G$152,Meals!$A$5:$A$152,$A33,Meals!$M$5:$M$152,"logged")</f>
        <v/>
      </c>
      <c r="F33" s="10">
        <f>SUMIFS(Meals!$H$5:$H$152,Meals!$A$5:$A$152,$A33,Meals!$M$5:$M$152,"logged")</f>
        <v/>
      </c>
      <c r="G33" s="10">
        <f>AVERAGE(E33:F33)</f>
        <v/>
      </c>
      <c r="H33" s="10">
        <f>SUMIFS(Meals!$J$5:$J$152,Meals!$A$5:$A$152,$A33,Meals!$M$5:$M$152,"logged")</f>
        <v/>
      </c>
      <c r="I33" s="10">
        <f>SUMIFS(Meals!$K$5:$K$152,Meals!$A$5:$A$152,$A33,Meals!$M$5:$M$152,"logged")</f>
        <v/>
      </c>
      <c r="J33" s="10">
        <f>AVERAGE(H33:I33)</f>
        <v/>
      </c>
      <c r="K33" s="18">
        <f>COUNTIFS(Meals!$A$5:$A$152,$A33,Meals!$M$5:$M$152,"logged")</f>
        <v/>
      </c>
      <c r="L33" s="18">
        <f>COUNTIFS(Meals!$A$5:$A$152,$A33,Meals!$M$5:$M$152,"pending")</f>
        <v/>
      </c>
      <c r="M33" s="19">
        <f>D33-Targets!$B$16</f>
        <v/>
      </c>
    </row>
    <row r="34">
      <c r="A34" s="20" t="n">
        <v>46299</v>
      </c>
      <c r="B34" s="21">
        <f>SUMIFS(Meals!$D$5:$D$152,Meals!$A$5:$A$152,$A34,Meals!$M$5:$M$152,"logged")</f>
        <v/>
      </c>
      <c r="C34" s="21">
        <f>SUMIFS(Meals!$E$5:$E$152,Meals!$A$5:$A$152,$A34,Meals!$M$5:$M$152,"logged")</f>
        <v/>
      </c>
      <c r="D34" s="21">
        <f>AVERAGE(B34:C34)</f>
        <v/>
      </c>
      <c r="E34" s="22">
        <f>SUMIFS(Meals!$G$5:$G$152,Meals!$A$5:$A$152,$A34,Meals!$M$5:$M$152,"logged")</f>
        <v/>
      </c>
      <c r="F34" s="22">
        <f>SUMIFS(Meals!$H$5:$H$152,Meals!$A$5:$A$152,$A34,Meals!$M$5:$M$152,"logged")</f>
        <v/>
      </c>
      <c r="G34" s="22">
        <f>AVERAGE(E34:F34)</f>
        <v/>
      </c>
      <c r="H34" s="22">
        <f>SUMIFS(Meals!$J$5:$J$152,Meals!$A$5:$A$152,$A34,Meals!$M$5:$M$152,"logged")</f>
        <v/>
      </c>
      <c r="I34" s="22">
        <f>SUMIFS(Meals!$K$5:$K$152,Meals!$A$5:$A$152,$A34,Meals!$M$5:$M$152,"logged")</f>
        <v/>
      </c>
      <c r="J34" s="22">
        <f>AVERAGE(H34:I34)</f>
        <v/>
      </c>
      <c r="K34" s="20">
        <f>COUNTIFS(Meals!$A$5:$A$152,$A34,Meals!$M$5:$M$152,"logged")</f>
        <v/>
      </c>
      <c r="L34" s="20">
        <f>COUNTIFS(Meals!$A$5:$A$152,$A34,Meals!$M$5:$M$152,"pending")</f>
        <v/>
      </c>
      <c r="M34" s="23">
        <f>D34-Targets!$B$16</f>
        <v/>
      </c>
    </row>
    <row r="35">
      <c r="A35" s="18" t="n">
        <v>46300</v>
      </c>
      <c r="B35" s="8">
        <f>SUMIFS(Meals!$D$5:$D$152,Meals!$A$5:$A$152,$A35,Meals!$M$5:$M$152,"logged")</f>
        <v/>
      </c>
      <c r="C35" s="8">
        <f>SUMIFS(Meals!$E$5:$E$152,Meals!$A$5:$A$152,$A35,Meals!$M$5:$M$152,"logged")</f>
        <v/>
      </c>
      <c r="D35" s="8">
        <f>AVERAGE(B35:C35)</f>
        <v/>
      </c>
      <c r="E35" s="10">
        <f>SUMIFS(Meals!$G$5:$G$152,Meals!$A$5:$A$152,$A35,Meals!$M$5:$M$152,"logged")</f>
        <v/>
      </c>
      <c r="F35" s="10">
        <f>SUMIFS(Meals!$H$5:$H$152,Meals!$A$5:$A$152,$A35,Meals!$M$5:$M$152,"logged")</f>
        <v/>
      </c>
      <c r="G35" s="10">
        <f>AVERAGE(E35:F35)</f>
        <v/>
      </c>
      <c r="H35" s="10">
        <f>SUMIFS(Meals!$J$5:$J$152,Meals!$A$5:$A$152,$A35,Meals!$M$5:$M$152,"logged")</f>
        <v/>
      </c>
      <c r="I35" s="10">
        <f>SUMIFS(Meals!$K$5:$K$152,Meals!$A$5:$A$152,$A35,Meals!$M$5:$M$152,"logged")</f>
        <v/>
      </c>
      <c r="J35" s="10">
        <f>AVERAGE(H35:I35)</f>
        <v/>
      </c>
      <c r="K35" s="18">
        <f>COUNTIFS(Meals!$A$5:$A$152,$A35,Meals!$M$5:$M$152,"logged")</f>
        <v/>
      </c>
      <c r="L35" s="18">
        <f>COUNTIFS(Meals!$A$5:$A$152,$A35,Meals!$M$5:$M$152,"pending")</f>
        <v/>
      </c>
      <c r="M35" s="19">
        <f>D35-Targets!$B$16</f>
        <v/>
      </c>
    </row>
    <row r="36">
      <c r="A36" s="20" t="n">
        <v>46301</v>
      </c>
      <c r="B36" s="21">
        <f>SUMIFS(Meals!$D$5:$D$152,Meals!$A$5:$A$152,$A36,Meals!$M$5:$M$152,"logged")</f>
        <v/>
      </c>
      <c r="C36" s="21">
        <f>SUMIFS(Meals!$E$5:$E$152,Meals!$A$5:$A$152,$A36,Meals!$M$5:$M$152,"logged")</f>
        <v/>
      </c>
      <c r="D36" s="21">
        <f>AVERAGE(B36:C36)</f>
        <v/>
      </c>
      <c r="E36" s="22">
        <f>SUMIFS(Meals!$G$5:$G$152,Meals!$A$5:$A$152,$A36,Meals!$M$5:$M$152,"logged")</f>
        <v/>
      </c>
      <c r="F36" s="22">
        <f>SUMIFS(Meals!$H$5:$H$152,Meals!$A$5:$A$152,$A36,Meals!$M$5:$M$152,"logged")</f>
        <v/>
      </c>
      <c r="G36" s="22">
        <f>AVERAGE(E36:F36)</f>
        <v/>
      </c>
      <c r="H36" s="22">
        <f>SUMIFS(Meals!$J$5:$J$152,Meals!$A$5:$A$152,$A36,Meals!$M$5:$M$152,"logged")</f>
        <v/>
      </c>
      <c r="I36" s="22">
        <f>SUMIFS(Meals!$K$5:$K$152,Meals!$A$5:$A$152,$A36,Meals!$M$5:$M$152,"logged")</f>
        <v/>
      </c>
      <c r="J36" s="22">
        <f>AVERAGE(H36:I36)</f>
        <v/>
      </c>
      <c r="K36" s="20">
        <f>COUNTIFS(Meals!$A$5:$A$152,$A36,Meals!$M$5:$M$152,"logged")</f>
        <v/>
      </c>
      <c r="L36" s="20">
        <f>COUNTIFS(Meals!$A$5:$A$152,$A36,Meals!$M$5:$M$152,"pending")</f>
        <v/>
      </c>
      <c r="M36" s="23">
        <f>D36-Targets!$B$16</f>
        <v/>
      </c>
    </row>
    <row r="37">
      <c r="A37" s="18" t="n">
        <v>46302</v>
      </c>
      <c r="B37" s="8">
        <f>SUMIFS(Meals!$D$5:$D$152,Meals!$A$5:$A$152,$A37,Meals!$M$5:$M$152,"logged")</f>
        <v/>
      </c>
      <c r="C37" s="8">
        <f>SUMIFS(Meals!$E$5:$E$152,Meals!$A$5:$A$152,$A37,Meals!$M$5:$M$152,"logged")</f>
        <v/>
      </c>
      <c r="D37" s="8">
        <f>AVERAGE(B37:C37)</f>
        <v/>
      </c>
      <c r="E37" s="10">
        <f>SUMIFS(Meals!$G$5:$G$152,Meals!$A$5:$A$152,$A37,Meals!$M$5:$M$152,"logged")</f>
        <v/>
      </c>
      <c r="F37" s="10">
        <f>SUMIFS(Meals!$H$5:$H$152,Meals!$A$5:$A$152,$A37,Meals!$M$5:$M$152,"logged")</f>
        <v/>
      </c>
      <c r="G37" s="10">
        <f>AVERAGE(E37:F37)</f>
        <v/>
      </c>
      <c r="H37" s="10">
        <f>SUMIFS(Meals!$J$5:$J$152,Meals!$A$5:$A$152,$A37,Meals!$M$5:$M$152,"logged")</f>
        <v/>
      </c>
      <c r="I37" s="10">
        <f>SUMIFS(Meals!$K$5:$K$152,Meals!$A$5:$A$152,$A37,Meals!$M$5:$M$152,"logged")</f>
        <v/>
      </c>
      <c r="J37" s="10">
        <f>AVERAGE(H37:I37)</f>
        <v/>
      </c>
      <c r="K37" s="18">
        <f>COUNTIFS(Meals!$A$5:$A$152,$A37,Meals!$M$5:$M$152,"logged")</f>
        <v/>
      </c>
      <c r="L37" s="18">
        <f>COUNTIFS(Meals!$A$5:$A$152,$A37,Meals!$M$5:$M$152,"pending")</f>
        <v/>
      </c>
      <c r="M37" s="19">
        <f>D37-Targets!$B$16</f>
        <v/>
      </c>
    </row>
    <row r="38">
      <c r="A38" s="20" t="n">
        <v>46303</v>
      </c>
      <c r="B38" s="21">
        <f>SUMIFS(Meals!$D$5:$D$152,Meals!$A$5:$A$152,$A38,Meals!$M$5:$M$152,"logged")</f>
        <v/>
      </c>
      <c r="C38" s="21">
        <f>SUMIFS(Meals!$E$5:$E$152,Meals!$A$5:$A$152,$A38,Meals!$M$5:$M$152,"logged")</f>
        <v/>
      </c>
      <c r="D38" s="21">
        <f>AVERAGE(B38:C38)</f>
        <v/>
      </c>
      <c r="E38" s="22">
        <f>SUMIFS(Meals!$G$5:$G$152,Meals!$A$5:$A$152,$A38,Meals!$M$5:$M$152,"logged")</f>
        <v/>
      </c>
      <c r="F38" s="22">
        <f>SUMIFS(Meals!$H$5:$H$152,Meals!$A$5:$A$152,$A38,Meals!$M$5:$M$152,"logged")</f>
        <v/>
      </c>
      <c r="G38" s="22">
        <f>AVERAGE(E38:F38)</f>
        <v/>
      </c>
      <c r="H38" s="22">
        <f>SUMIFS(Meals!$J$5:$J$152,Meals!$A$5:$A$152,$A38,Meals!$M$5:$M$152,"logged")</f>
        <v/>
      </c>
      <c r="I38" s="22">
        <f>SUMIFS(Meals!$K$5:$K$152,Meals!$A$5:$A$152,$A38,Meals!$M$5:$M$152,"logged")</f>
        <v/>
      </c>
      <c r="J38" s="22">
        <f>AVERAGE(H38:I38)</f>
        <v/>
      </c>
      <c r="K38" s="20">
        <f>COUNTIFS(Meals!$A$5:$A$152,$A38,Meals!$M$5:$M$152,"logged")</f>
        <v/>
      </c>
      <c r="L38" s="20">
        <f>COUNTIFS(Meals!$A$5:$A$152,$A38,Meals!$M$5:$M$152,"pending")</f>
        <v/>
      </c>
      <c r="M38" s="23">
        <f>D38-Targets!$B$16</f>
        <v/>
      </c>
    </row>
    <row r="39">
      <c r="A39" s="18" t="n">
        <v>46304</v>
      </c>
      <c r="B39" s="8">
        <f>SUMIFS(Meals!$D$5:$D$152,Meals!$A$5:$A$152,$A39,Meals!$M$5:$M$152,"logged")</f>
        <v/>
      </c>
      <c r="C39" s="8">
        <f>SUMIFS(Meals!$E$5:$E$152,Meals!$A$5:$A$152,$A39,Meals!$M$5:$M$152,"logged")</f>
        <v/>
      </c>
      <c r="D39" s="8">
        <f>AVERAGE(B39:C39)</f>
        <v/>
      </c>
      <c r="E39" s="10">
        <f>SUMIFS(Meals!$G$5:$G$152,Meals!$A$5:$A$152,$A39,Meals!$M$5:$M$152,"logged")</f>
        <v/>
      </c>
      <c r="F39" s="10">
        <f>SUMIFS(Meals!$H$5:$H$152,Meals!$A$5:$A$152,$A39,Meals!$M$5:$M$152,"logged")</f>
        <v/>
      </c>
      <c r="G39" s="10">
        <f>AVERAGE(E39:F39)</f>
        <v/>
      </c>
      <c r="H39" s="10">
        <f>SUMIFS(Meals!$J$5:$J$152,Meals!$A$5:$A$152,$A39,Meals!$M$5:$M$152,"logged")</f>
        <v/>
      </c>
      <c r="I39" s="10">
        <f>SUMIFS(Meals!$K$5:$K$152,Meals!$A$5:$A$152,$A39,Meals!$M$5:$M$152,"logged")</f>
        <v/>
      </c>
      <c r="J39" s="10">
        <f>AVERAGE(H39:I39)</f>
        <v/>
      </c>
      <c r="K39" s="18">
        <f>COUNTIFS(Meals!$A$5:$A$152,$A39,Meals!$M$5:$M$152,"logged")</f>
        <v/>
      </c>
      <c r="L39" s="18">
        <f>COUNTIFS(Meals!$A$5:$A$152,$A39,Meals!$M$5:$M$152,"pending")</f>
        <v/>
      </c>
      <c r="M39" s="19">
        <f>D39-Targets!$B$16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19">
      <c r="A19" s="4" t="n">
        <v>46301</v>
      </c>
      <c r="B19" s="24" t="n">
        <v>88.45</v>
      </c>
      <c r="C19" s="25">
        <f>B19-B18</f>
        <v/>
      </c>
      <c r="D19" s="25">
        <f>B19-$B$5</f>
        <v/>
      </c>
      <c r="E19" s="26">
        <f>AVERAGE(B13:B19)</f>
        <v/>
      </c>
      <c r="F19" s="6" t="inlineStr">
        <is>
          <t>Morning weigh-in - during the loose-motion episode; water status unreliable</t>
        </is>
      </c>
    </row>
    <row r="20">
      <c r="A20" s="4" t="n">
        <v>46302</v>
      </c>
      <c r="B20" s="24" t="n">
        <v>88.2</v>
      </c>
      <c r="C20" s="25">
        <f>B20-B19</f>
        <v/>
      </c>
      <c r="D20" s="25">
        <f>B20-$B$5</f>
        <v/>
      </c>
      <c r="E20" s="26">
        <f>AVERAGE(B14:B20)</f>
        <v/>
      </c>
      <c r="F20" s="6" t="inlineStr">
        <is>
          <t>Morning weigh-in - follows a 1</t>
        </is>
      </c>
    </row>
    <row r="21">
      <c r="A21" s="4" t="n">
        <v>46303</v>
      </c>
      <c r="B21" s="24" t="n">
        <v>88.2</v>
      </c>
      <c r="C21" s="25">
        <f>B21-B20</f>
        <v/>
      </c>
      <c r="D21" s="25">
        <f>B21-$B$5</f>
        <v/>
      </c>
      <c r="E21" s="26">
        <f>AVERAGE(B15:B21)</f>
        <v/>
      </c>
      <c r="F21" s="6" t="inlineStr">
        <is>
          <t>Morning weigh-in - unchanged after a 2</t>
        </is>
      </c>
    </row>
    <row r="22">
      <c r="A22" s="4" t="n">
        <v>46304</v>
      </c>
      <c r="B22" s="24" t="n">
        <v>88</v>
      </c>
      <c r="C22" s="25">
        <f>B22-B21</f>
        <v/>
      </c>
      <c r="D22" s="25">
        <f>B22-$B$5</f>
        <v/>
      </c>
      <c r="E22" s="26">
        <f>AVERAGE(B16:B22)</f>
        <v/>
      </c>
      <c r="F22" s="6" t="inlineStr">
        <is>
          <t>Morning weigh-in - first reading at or below 88</t>
        </is>
      </c>
    </row>
    <row r="24">
      <c r="A2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COUNT(Daily!$A$5:$A$39)</f>
        <v/>
      </c>
    </row>
    <row r="6">
      <c r="A6" s="29" t="inlineStr">
        <is>
          <t>Avg calories/day (mid)</t>
        </is>
      </c>
      <c r="B6" s="8">
        <f>IFERROR(AVERAGE(Daily!$D$5:$D$39),0)</f>
        <v/>
      </c>
    </row>
    <row r="7">
      <c r="A7" s="29" t="inlineStr">
        <is>
          <t>Avg protein/day (mid, g)</t>
        </is>
      </c>
      <c r="B7" s="10">
        <f>IFERROR(AVERAGE(Daily!$G$5:$G$39),0)</f>
        <v/>
      </c>
    </row>
    <row r="8">
      <c r="A8" s="29" t="inlineStr">
        <is>
          <t>Avg fat/day (mid, g)</t>
        </is>
      </c>
      <c r="B8" s="10">
        <f>IFERROR(AVERAGE(Daily!$J$5:$J$39),0)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COUNTIFS(Daily!$G$5:$G$39,"&gt;="&amp;Targets!$B$20)</f>
        <v/>
      </c>
    </row>
    <row r="13">
      <c r="A13" s="29" t="inlineStr">
        <is>
          <t>Total pending (unconfirmed) items</t>
        </is>
      </c>
      <c r="B13" s="18">
        <f>SUM(Daily!$L$5:$L$39)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COUNTIFS(Daily!$A$5:$A$39,"&gt;="&amp;$A17,Daily!$A$5:$A$39,"&lt;="&amp;$B17)</f>
        <v/>
      </c>
      <c r="D17" s="8">
        <f>IFERROR(AVERAGEIFS(Daily!$D$5:$D$39,Daily!$A$5:$A$39,"&gt;="&amp;$A17,Daily!$A$5:$A$39,"&lt;="&amp;$B17),0)</f>
        <v/>
      </c>
      <c r="E17" s="10">
        <f>IFERROR(AVERAGEIFS(Daily!$G$5:$G$39,Daily!$A$5:$A$39,"&gt;="&amp;$A17,Daily!$A$5:$A$39,"&lt;="&amp;$B17),0)</f>
        <v/>
      </c>
      <c r="F17" s="10">
        <f>IFERROR(AVERAGEIFS(Daily!$J$5:$J$39,Daily!$A$5:$A$39,"&gt;="&amp;$A17,Daily!$A$5:$A$39,"&lt;="&amp;$B17),0)</f>
        <v/>
      </c>
    </row>
    <row r="18">
      <c r="A18" s="4" t="n">
        <v>46272</v>
      </c>
      <c r="B18" s="4" t="n">
        <v>46278</v>
      </c>
      <c r="C18" s="18">
        <f>COUNTIFS(Daily!$A$5:$A$39,"&gt;="&amp;$A18,Daily!$A$5:$A$39,"&lt;="&amp;$B18)</f>
        <v/>
      </c>
      <c r="D18" s="8">
        <f>IFERROR(AVERAGEIFS(Daily!$D$5:$D$39,Daily!$A$5:$A$39,"&gt;="&amp;$A18,Daily!$A$5:$A$39,"&lt;="&amp;$B18),0)</f>
        <v/>
      </c>
      <c r="E18" s="10">
        <f>IFERROR(AVERAGEIFS(Daily!$G$5:$G$39,Daily!$A$5:$A$39,"&gt;="&amp;$A18,Daily!$A$5:$A$39,"&lt;="&amp;$B18),0)</f>
        <v/>
      </c>
      <c r="F18" s="10">
        <f>IFERROR(AVERAGEIFS(Daily!$J$5:$J$39,Daily!$A$5:$A$39,"&gt;="&amp;$A18,Daily!$A$5:$A$39,"&lt;="&amp;$B18),0)</f>
        <v/>
      </c>
    </row>
    <row r="19">
      <c r="A19" s="4" t="n">
        <v>46279</v>
      </c>
      <c r="B19" s="4" t="n">
        <v>46285</v>
      </c>
      <c r="C19" s="18">
        <f>COUNTIFS(Daily!$A$5:$A$39,"&gt;="&amp;$A19,Daily!$A$5:$A$39,"&lt;="&amp;$B19)</f>
        <v/>
      </c>
      <c r="D19" s="8">
        <f>IFERROR(AVERAGEIFS(Daily!$D$5:$D$39,Daily!$A$5:$A$39,"&gt;="&amp;$A19,Daily!$A$5:$A$39,"&lt;="&amp;$B19),0)</f>
        <v/>
      </c>
      <c r="E19" s="10">
        <f>IFERROR(AVERAGEIFS(Daily!$G$5:$G$39,Daily!$A$5:$A$39,"&gt;="&amp;$A19,Daily!$A$5:$A$39,"&lt;="&amp;$B19),0)</f>
        <v/>
      </c>
      <c r="F19" s="10">
        <f>IFERROR(AVERAGEIFS(Daily!$J$5:$J$39,Daily!$A$5:$A$39,"&gt;="&amp;$A19,Daily!$A$5:$A$39,"&lt;="&amp;$B19),0)</f>
        <v/>
      </c>
    </row>
    <row r="20">
      <c r="A20" s="4" t="n">
        <v>46286</v>
      </c>
      <c r="B20" s="4" t="n">
        <v>46292</v>
      </c>
      <c r="C20" s="18">
        <f>COUNTIFS(Daily!$A$5:$A$39,"&gt;="&amp;$A20,Daily!$A$5:$A$39,"&lt;="&amp;$B20)</f>
        <v/>
      </c>
      <c r="D20" s="8">
        <f>IFERROR(AVERAGEIFS(Daily!$D$5:$D$39,Daily!$A$5:$A$39,"&gt;="&amp;$A20,Daily!$A$5:$A$39,"&lt;="&amp;$B20),0)</f>
        <v/>
      </c>
      <c r="E20" s="10">
        <f>IFERROR(AVERAGEIFS(Daily!$G$5:$G$39,Daily!$A$5:$A$39,"&gt;="&amp;$A20,Daily!$A$5:$A$39,"&lt;="&amp;$B20),0)</f>
        <v/>
      </c>
      <c r="F20" s="10">
        <f>IFERROR(AVERAGEIFS(Daily!$J$5:$J$39,Daily!$A$5:$A$39,"&gt;="&amp;$A20,Daily!$A$5:$A$39,"&lt;="&amp;$B20),0)</f>
        <v/>
      </c>
    </row>
    <row r="21">
      <c r="A21" s="4" t="n">
        <v>46293</v>
      </c>
      <c r="B21" s="4" t="n">
        <v>46299</v>
      </c>
      <c r="C21" s="18">
        <f>COUNTIFS(Daily!$A$5:$A$39,"&gt;="&amp;$A21,Daily!$A$5:$A$39,"&lt;="&amp;$B21)</f>
        <v/>
      </c>
      <c r="D21" s="8">
        <f>IFERROR(AVERAGEIFS(Daily!$D$5:$D$39,Daily!$A$5:$A$39,"&gt;="&amp;$A21,Daily!$A$5:$A$39,"&lt;="&amp;$B21),0)</f>
        <v/>
      </c>
      <c r="E21" s="10">
        <f>IFERROR(AVERAGEIFS(Daily!$G$5:$G$39,Daily!$A$5:$A$39,"&gt;="&amp;$A21,Daily!$A$5:$A$39,"&lt;="&amp;$B21),0)</f>
        <v/>
      </c>
      <c r="F21" s="10">
        <f>IFERROR(AVERAGEIFS(Daily!$J$5:$J$39,Daily!$A$5:$A$39,"&gt;="&amp;$A21,Daily!$A$5:$A$39,"&lt;="&amp;$B21),0)</f>
        <v/>
      </c>
    </row>
    <row r="22">
      <c r="A22" s="4" t="n">
        <v>46300</v>
      </c>
      <c r="B22" s="4" t="n">
        <v>46306</v>
      </c>
      <c r="C22" s="18">
        <f>COUNTIFS(Daily!$A$5:$A$39,"&gt;="&amp;$A22,Daily!$A$5:$A$39,"&lt;="&amp;$B22)</f>
        <v/>
      </c>
      <c r="D22" s="8">
        <f>IFERROR(AVERAGEIFS(Daily!$D$5:$D$39,Daily!$A$5:$A$39,"&gt;="&amp;$A22,Daily!$A$5:$A$39,"&lt;="&amp;$B22),0)</f>
        <v/>
      </c>
      <c r="E22" s="10">
        <f>IFERROR(AVERAGEIFS(Daily!$G$5:$G$39,Daily!$A$5:$A$39,"&gt;="&amp;$A22,Daily!$A$5:$A$39,"&lt;="&amp;$B22),0)</f>
        <v/>
      </c>
      <c r="F22" s="10">
        <f>IFERROR(AVERAGEIFS(Daily!$J$5:$J$39,Daily!$A$5:$A$39,"&gt;="&amp;$A22,Daily!$A$5:$A$39,"&lt;="&amp;$B22),0)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COUNTIFS(Daily!$A$5:$A$39,"&gt;="&amp;$A26,Daily!$A$5:$A$39,"&lt;="&amp;$B26)</f>
        <v/>
      </c>
      <c r="D26" s="8">
        <f>IFERROR(AVERAGEIFS(Daily!$D$5:$D$39,Daily!$A$5:$A$39,"&gt;="&amp;$A26,Daily!$A$5:$A$39,"&lt;="&amp;$B26),0)</f>
        <v/>
      </c>
      <c r="E26" s="10">
        <f>IFERROR(AVERAGEIFS(Daily!$G$5:$G$39,Daily!$A$5:$A$39,"&gt;="&amp;$A26,Daily!$A$5:$A$39,"&lt;="&amp;$B26),0)</f>
        <v/>
      </c>
      <c r="F26" s="10">
        <f>IFERROR(AVERAGEIFS(Daily!$J$5:$J$39,Daily!$A$5:$A$39,"&gt;="&amp;$A26,Daily!$A$5:$A$39,"&lt;="&amp;$B26),0)</f>
        <v/>
      </c>
    </row>
    <row r="27">
      <c r="A27" s="4" t="n">
        <v>46296</v>
      </c>
      <c r="B27" s="4" t="n">
        <v>46326</v>
      </c>
      <c r="C27" s="18">
        <f>COUNTIFS(Daily!$A$5:$A$39,"&gt;="&amp;$A27,Daily!$A$5:$A$39,"&lt;="&amp;$B27)</f>
        <v/>
      </c>
      <c r="D27" s="8">
        <f>IFERROR(AVERAGEIFS(Daily!$D$5:$D$39,Daily!$A$5:$A$39,"&gt;="&amp;$A27,Daily!$A$5:$A$39,"&lt;="&amp;$B27),0)</f>
        <v/>
      </c>
      <c r="E27" s="10">
        <f>IFERROR(AVERAGEIFS(Daily!$G$5:$G$39,Daily!$A$5:$A$39,"&gt;="&amp;$A27,Daily!$A$5:$A$39,"&lt;="&amp;$B27),0)</f>
        <v/>
      </c>
      <c r="F27" s="10">
        <f>IFERROR(AVERAGEIFS(Daily!$J$5:$J$39,Daily!$A$5:$A$39,"&gt;="&amp;$A27,Daily!$A$5:$A$39,"&lt;="&amp;$B27),0)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row r="85">
      <c r="A85" s="6" t="inlineStr">
        <is>
          <t>Body Armor 100% Whey (1 scoop ~32 g)</t>
        </is>
      </c>
      <c r="B85" s="7" t="n">
        <v>120</v>
      </c>
      <c r="C85" s="7" t="n">
        <v>140</v>
      </c>
      <c r="D85" s="8">
        <f>AVERAGE(B85:C85)</f>
        <v/>
      </c>
      <c r="E85" s="5" t="inlineStr">
        <is>
          <t>~24-26 g</t>
        </is>
      </c>
      <c r="F85" s="6" t="inlineStr">
        <is>
          <t>25 g protein per 32 g serving - 78% protein by weight. CFM concentrate with DigeZyme. AED 250 for 71 servings = AED 3.52/serving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2026-10-09T07:49:29Z</dcterms:created>
  <dcterms:modified xsi:type="dcterms:W3CDTF">2026-10-09T07:49:29Z</dcterms:modified>
</cp:coreProperties>
</file>