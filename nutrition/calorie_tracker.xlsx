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13"/>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Dinner</t>
        </is>
      </c>
      <c r="C87" s="6" t="inlineStr">
        <is>
          <t>Quarter grilled chicken + mixed grill</t>
        </is>
      </c>
      <c r="D87" s="7" t="n">
        <v>650</v>
      </c>
      <c r="E87" s="7" t="n">
        <v>1050</v>
      </c>
      <c r="F87" s="8">
        <f>AVERAGE(D87:E87)</f>
        <v/>
      </c>
      <c r="G87" s="9" t="n">
        <v>75</v>
      </c>
      <c r="H87" s="9" t="n">
        <v>105</v>
      </c>
      <c r="I87" s="10">
        <f>AVERAGE(G87:H87)</f>
        <v/>
      </c>
      <c r="J87" s="9" t="n">
        <v>33</v>
      </c>
      <c r="K87" s="9" t="n">
        <v>63</v>
      </c>
      <c r="L87" s="10">
        <f>AVERAGE(J87:K87)</f>
        <v/>
      </c>
      <c r="M87" s="5" t="inlineStr">
        <is>
          <t>logged</t>
        </is>
      </c>
      <c r="N87" s="6" t="inlineStr">
        <is>
          <t>Restaurant dinner at Panoor; closing scoop not taken</t>
        </is>
      </c>
    </row>
    <row r="88">
      <c r="A88" s="4" t="n">
        <v>46285</v>
      </c>
      <c r="B88" s="5" t="inlineStr">
        <is>
          <t>Drink</t>
        </is>
      </c>
      <c r="C88" s="6" t="inlineStr">
        <is>
          <t>Mint juice (small cup)</t>
        </is>
      </c>
      <c r="D88" s="7" t="n">
        <v>60</v>
      </c>
      <c r="E88" s="7" t="n">
        <v>140</v>
      </c>
      <c r="F88" s="8">
        <f>AVERAGE(D88:E88)</f>
        <v/>
      </c>
      <c r="G88" s="9" t="n">
        <v>0</v>
      </c>
      <c r="H88" s="9" t="n">
        <v>0.5</v>
      </c>
      <c r="I88" s="10">
        <f>AVERAGE(G88:H88)</f>
        <v/>
      </c>
      <c r="J88" s="9" t="n">
        <v>0</v>
      </c>
      <c r="K88" s="9" t="n">
        <v>0.5</v>
      </c>
      <c r="L88" s="10">
        <f>AVERAGE(J88:K88)</f>
        <v/>
      </c>
      <c r="M88" s="5" t="inlineStr">
        <is>
          <t>logged</t>
        </is>
      </c>
      <c r="N88" s="6" t="inlineStr">
        <is>
          <t>Assumed sweetened - if unsweetened it is nearer 15 kcal</t>
        </is>
      </c>
    </row>
    <row r="89">
      <c r="A89" s="4" t="n">
        <v>46285</v>
      </c>
      <c r="B89" s="5" t="inlineStr">
        <is>
          <t>Lunch</t>
        </is>
      </c>
      <c r="C89" s="6" t="inlineStr">
        <is>
          <t>Ghee rice (halved) + chicken curry + curd</t>
        </is>
      </c>
      <c r="D89" s="7" t="n">
        <v>490</v>
      </c>
      <c r="E89" s="7" t="n">
        <v>710</v>
      </c>
      <c r="F89" s="8">
        <f>AVERAGE(D89:E89)</f>
        <v/>
      </c>
      <c r="G89" s="9" t="n">
        <v>26</v>
      </c>
      <c r="H89" s="9" t="n">
        <v>36</v>
      </c>
      <c r="I89" s="10">
        <f>AVERAGE(G89:H89)</f>
        <v/>
      </c>
      <c r="J89" s="9" t="n">
        <v>21</v>
      </c>
      <c r="K89" s="9" t="n">
        <v>36</v>
      </c>
      <c r="L89" s="10">
        <f>AVERAGE(J89:K89)</f>
        <v/>
      </c>
      <c r="M89" s="5" t="inlineStr">
        <is>
          <t>logged</t>
        </is>
      </c>
      <c r="N89" s="6" t="inlineStr">
        <is>
          <t>Rice halved despite the day having room for it</t>
        </is>
      </c>
    </row>
    <row r="90">
      <c r="A90" s="4" t="n">
        <v>46285</v>
      </c>
      <c r="B90" s="5" t="inlineStr">
        <is>
          <t>Snack</t>
        </is>
      </c>
      <c r="C90" s="6" t="inlineStr">
        <is>
          <t>1 parippu vada + milk coffee (no sugar)</t>
        </is>
      </c>
      <c r="D90" s="7" t="n">
        <v>170</v>
      </c>
      <c r="E90" s="7" t="n">
        <v>280</v>
      </c>
      <c r="F90" s="8">
        <f>AVERAGE(D90:E90)</f>
        <v/>
      </c>
      <c r="G90" s="9" t="n">
        <v>7</v>
      </c>
      <c r="H90" s="9" t="n">
        <v>10.5</v>
      </c>
      <c r="I90" s="10">
        <f>AVERAGE(G90:H90)</f>
        <v/>
      </c>
      <c r="J90" s="9" t="n">
        <v>9</v>
      </c>
      <c r="K90" s="9" t="n">
        <v>16</v>
      </c>
      <c r="L90" s="10">
        <f>AVERAGE(J90:K90)</f>
        <v/>
      </c>
      <c r="M90" s="5" t="inlineStr">
        <is>
          <t>logged</t>
        </is>
      </c>
      <c r="N90" s="6" t="inlineStr">
        <is>
          <t>First milk coffee logged - black coffee is ~2 kcal against this ~60</t>
        </is>
      </c>
    </row>
    <row r="91">
      <c r="A91" s="4" t="n">
        <v>46285</v>
      </c>
      <c r="B91" s="5" t="inlineStr">
        <is>
          <t>Snack</t>
        </is>
      </c>
      <c r="C91" s="6" t="inlineStr">
        <is>
          <t>1 small stuffed squid (pan-fried)</t>
        </is>
      </c>
      <c r="D91" s="7" t="n">
        <v>130</v>
      </c>
      <c r="E91" s="7" t="n">
        <v>200</v>
      </c>
      <c r="F91" s="8">
        <f>AVERAGE(D91:E91)</f>
        <v/>
      </c>
      <c r="G91" s="9" t="n">
        <v>10</v>
      </c>
      <c r="H91" s="9" t="n">
        <v>14</v>
      </c>
      <c r="I91" s="10">
        <f>AVERAGE(G91:H91)</f>
        <v/>
      </c>
      <c r="J91" s="9" t="n">
        <v>8</v>
      </c>
      <c r="K91" s="9" t="n">
        <v>15</v>
      </c>
      <c r="L91" s="10">
        <f>AVERAGE(J91:K91)</f>
        <v/>
      </c>
      <c r="M91" s="5" t="inlineStr">
        <is>
          <t>logged</t>
        </is>
      </c>
      <c r="N91" s="6" t="inlineStr">
        <is>
          <t>7.3 g protein per 100 kcal - double the mess average</t>
        </is>
      </c>
    </row>
    <row r="92">
      <c r="A92" s="4" t="n">
        <v>46285</v>
      </c>
      <c r="B92" s="5" t="inlineStr">
        <is>
          <t>Snack</t>
        </is>
      </c>
      <c r="C92" s="6" t="inlineStr">
        <is>
          <t>Clear soup (one spoonful only)</t>
        </is>
      </c>
      <c r="D92" s="7" t="n">
        <v>5</v>
      </c>
      <c r="E92" s="7" t="n">
        <v>12</v>
      </c>
      <c r="F92" s="8">
        <f>AVERAGE(D92:E92)</f>
        <v/>
      </c>
      <c r="G92" s="9" t="n">
        <v>0</v>
      </c>
      <c r="H92" s="9" t="n">
        <v>0.5</v>
      </c>
      <c r="I92" s="10">
        <f>AVERAGE(G92:H92)</f>
        <v/>
      </c>
      <c r="J92" s="9" t="n">
        <v>0</v>
      </c>
      <c r="K92" s="9" t="n">
        <v>0.5</v>
      </c>
      <c r="L92" s="10">
        <f>AVERAGE(J92:K92)</f>
        <v/>
      </c>
      <c r="M92" s="5" t="inlineStr">
        <is>
          <t>logged</t>
        </is>
      </c>
      <c r="N92" s="6" t="inlineStr">
        <is>
          <t>Corrected - only a spoonful was taken</t>
        </is>
      </c>
    </row>
    <row r="93">
      <c r="A93" s="4" t="n">
        <v>46285</v>
      </c>
      <c r="B93" s="5" t="inlineStr">
        <is>
          <t>Snack</t>
        </is>
      </c>
      <c r="C93" s="6" t="inlineStr">
        <is>
          <t>Brooklyn Creamery guilt-free gelato - coconut creme (1 serving)</t>
        </is>
      </c>
      <c r="D93" s="7" t="n">
        <v>80</v>
      </c>
      <c r="E93" s="7" t="n">
        <v>95</v>
      </c>
      <c r="F93" s="8">
        <f>AVERAGE(D93:E93)</f>
        <v/>
      </c>
      <c r="G93" s="9" t="n">
        <v>1</v>
      </c>
      <c r="H93" s="9" t="n">
        <v>3</v>
      </c>
      <c r="I93" s="10">
        <f>AVERAGE(G93:H93)</f>
        <v/>
      </c>
      <c r="J93" s="9" t="n">
        <v>2.5</v>
      </c>
      <c r="K93" s="9" t="n">
        <v>4.5</v>
      </c>
      <c r="L93" s="10">
        <f>AVERAGE(J93:K93)</f>
        <v/>
      </c>
      <c r="M93" s="5" t="inlineStr">
        <is>
          <t>logged</t>
        </is>
      </c>
      <c r="N93" s="6" t="inlineStr">
        <is>
          <t>86 kcal is per serving; a 500 ml tub is about 4 servings</t>
        </is>
      </c>
    </row>
    <row r="94">
      <c r="A94" s="4" t="n">
        <v>46286</v>
      </c>
      <c r="B94" s="5" t="inlineStr">
        <is>
          <t>Breakfast</t>
        </is>
      </c>
      <c r="C94" s="6" t="inlineStr">
        <is>
          <t>2 poori + potato bhaji</t>
        </is>
      </c>
      <c r="D94" s="7" t="n">
        <v>290</v>
      </c>
      <c r="E94" s="7" t="n">
        <v>420</v>
      </c>
      <c r="F94" s="8">
        <f>AVERAGE(D94:E94)</f>
        <v/>
      </c>
      <c r="G94" s="9" t="n">
        <v>7</v>
      </c>
      <c r="H94" s="9" t="n">
        <v>10</v>
      </c>
      <c r="I94" s="10">
        <f>AVERAGE(G94:H94)</f>
        <v/>
      </c>
      <c r="J94" s="9" t="n">
        <v>14</v>
      </c>
      <c r="K94" s="9" t="n">
        <v>24</v>
      </c>
      <c r="L94" s="10">
        <f>AVERAGE(J94:K94)</f>
        <v/>
      </c>
      <c r="M94" s="5" t="inlineStr">
        <is>
          <t>logged</t>
        </is>
      </c>
      <c r="N94" s="6" t="inlineStr">
        <is>
          <t>Monday mess breakfast as served</t>
        </is>
      </c>
    </row>
    <row r="95">
      <c r="A95" s="4" t="n">
        <v>46286</v>
      </c>
      <c r="B95" s="5" t="inlineStr">
        <is>
          <t>Dinner</t>
        </is>
      </c>
      <c r="C95" s="6" t="inlineStr">
        <is>
          <t>Half grilled chicken + 2 chapati + chicken curry + salad + creamy garlic sauce</t>
        </is>
      </c>
      <c r="D95" s="7" t="n">
        <v>865</v>
      </c>
      <c r="E95" s="7" t="n">
        <v>1310</v>
      </c>
      <c r="F95" s="8">
        <f>AVERAGE(D95:E95)</f>
        <v/>
      </c>
      <c r="G95" s="9" t="n">
        <v>67</v>
      </c>
      <c r="H95" s="9" t="n">
        <v>92</v>
      </c>
      <c r="I95" s="10">
        <f>AVERAGE(G95:H95)</f>
        <v/>
      </c>
      <c r="J95" s="9" t="n">
        <v>46</v>
      </c>
      <c r="K95" s="9" t="n">
        <v>78.5</v>
      </c>
      <c r="L95" s="10">
        <f>AVERAGE(J95:K95)</f>
        <v/>
      </c>
      <c r="M95" s="5" t="inlineStr">
        <is>
          <t>logged</t>
        </is>
      </c>
      <c r="N95" s="6" t="inlineStr">
        <is>
          <t>Fries and kubboos skipped - saves ~400-600 kcal</t>
        </is>
      </c>
    </row>
    <row r="96">
      <c r="A96" s="4" t="n">
        <v>46286</v>
      </c>
      <c r="B96" s="5" t="inlineStr">
        <is>
          <t>Lunch</t>
        </is>
      </c>
      <c r="C96" s="6" t="inlineStr">
        <is>
          <t>Mess meals plate + 1-egg omelette roll, 2 pappadam, sambar, kadala, chammanthi, veg curry</t>
        </is>
      </c>
      <c r="D96" s="7" t="n">
        <v>750</v>
      </c>
      <c r="E96" s="7" t="n">
        <v>1160</v>
      </c>
      <c r="F96" s="8">
        <f>AVERAGE(D96:E96)</f>
        <v/>
      </c>
      <c r="G96" s="9" t="n">
        <v>25</v>
      </c>
      <c r="H96" s="9" t="n">
        <v>37</v>
      </c>
      <c r="I96" s="10">
        <f>AVERAGE(G96:H96)</f>
        <v/>
      </c>
      <c r="J96" s="9" t="n">
        <v>31.5</v>
      </c>
      <c r="K96" s="9" t="n">
        <v>55</v>
      </c>
      <c r="L96" s="10">
        <f>AVERAGE(J96:K96)</f>
        <v/>
      </c>
      <c r="M96" s="5" t="inlineStr">
        <is>
          <t>logged</t>
        </is>
      </c>
      <c r="N96" s="6" t="inlineStr">
        <is>
          <t>Rice not stated as halved - costed as a near-full portion</t>
        </is>
      </c>
    </row>
    <row r="97">
      <c r="A97" s="4" t="n">
        <v>46286</v>
      </c>
      <c r="B97" s="5" t="inlineStr">
        <is>
          <t>Lunch</t>
        </is>
      </c>
      <c r="C97" s="6" t="inlineStr">
        <is>
          <t>Rasam (small container)</t>
        </is>
      </c>
      <c r="D97" s="7" t="n">
        <v>25</v>
      </c>
      <c r="E97" s="7" t="n">
        <v>50</v>
      </c>
      <c r="F97" s="8">
        <f>AVERAGE(D97:E97)</f>
        <v/>
      </c>
      <c r="G97" s="9" t="n">
        <v>1</v>
      </c>
      <c r="H97" s="9" t="n">
        <v>2</v>
      </c>
      <c r="I97" s="10">
        <f>AVERAGE(G97:H97)</f>
        <v/>
      </c>
      <c r="J97" s="9" t="n">
        <v>1</v>
      </c>
      <c r="K97" s="9" t="n">
        <v>3</v>
      </c>
      <c r="L97" s="10">
        <f>AVERAGE(J97:K97)</f>
        <v/>
      </c>
      <c r="M97" s="5" t="inlineStr">
        <is>
          <t>logged</t>
        </is>
      </c>
      <c r="N97" s="6" t="inlineStr">
        <is>
          <t>Thin tamarind broth - the cheapest item in the container set</t>
        </is>
      </c>
    </row>
    <row r="98">
      <c r="A98" s="4" t="n">
        <v>46287</v>
      </c>
      <c r="B98" s="5" t="inlineStr">
        <is>
          <t>Breakfast</t>
        </is>
      </c>
      <c r="C98" s="6" t="inlineStr">
        <is>
          <t>Large masala dosa + sambar</t>
        </is>
      </c>
      <c r="D98" s="7" t="n">
        <v>410</v>
      </c>
      <c r="E98" s="7" t="n">
        <v>600</v>
      </c>
      <c r="F98" s="8">
        <f>AVERAGE(D98:E98)</f>
        <v/>
      </c>
      <c r="G98" s="9" t="n">
        <v>10</v>
      </c>
      <c r="H98" s="9" t="n">
        <v>15</v>
      </c>
      <c r="I98" s="10">
        <f>AVERAGE(G98:H98)</f>
        <v/>
      </c>
      <c r="J98" s="9" t="n">
        <v>17</v>
      </c>
      <c r="K98" s="9" t="n">
        <v>31</v>
      </c>
      <c r="L98" s="10">
        <f>AVERAGE(J98:K98)</f>
        <v/>
      </c>
      <c r="M98" s="5" t="inlineStr">
        <is>
          <t>logged</t>
        </is>
      </c>
      <c r="N98" s="6" t="inlineStr">
        <is>
          <t>Tuesday mess breakfast</t>
        </is>
      </c>
    </row>
    <row r="99">
      <c r="A99" s="4" t="n">
        <v>46287</v>
      </c>
      <c r="B99" s="5" t="inlineStr">
        <is>
          <t>Dinner</t>
        </is>
      </c>
      <c r="C99" s="6" t="inlineStr">
        <is>
          <t>Quarter grilled chicken + green peas curry + 1 chapati + salad</t>
        </is>
      </c>
      <c r="D99" s="7" t="n">
        <v>545</v>
      </c>
      <c r="E99" s="7" t="n">
        <v>810</v>
      </c>
      <c r="F99" s="8">
        <f>AVERAGE(D99:E99)</f>
        <v/>
      </c>
      <c r="G99" s="9" t="n">
        <v>44.5</v>
      </c>
      <c r="H99" s="9" t="n">
        <v>59</v>
      </c>
      <c r="I99" s="10">
        <f>AVERAGE(G99:H99)</f>
        <v/>
      </c>
      <c r="J99" s="9" t="n">
        <v>23.5</v>
      </c>
      <c r="K99" s="9" t="n">
        <v>40</v>
      </c>
      <c r="L99" s="10">
        <f>AVERAGE(J99:K99)</f>
        <v/>
      </c>
      <c r="M99" s="5" t="inlineStr">
        <is>
          <t>logged</t>
        </is>
      </c>
      <c r="N99" s="6" t="inlineStr">
        <is>
          <t>Grilled chicken added to the mess dinner; 1 chapati not 2; creamy sauce container not counted</t>
        </is>
      </c>
    </row>
    <row r="100">
      <c r="A100" s="4" t="n">
        <v>46287</v>
      </c>
      <c r="B100" s="5" t="inlineStr">
        <is>
          <t>Lunch</t>
        </is>
      </c>
      <c r="C100" s="6" t="inlineStr">
        <is>
          <t>Ghee rice (halved) + chicken curry + raita</t>
        </is>
      </c>
      <c r="D100" s="7" t="n">
        <v>490</v>
      </c>
      <c r="E100" s="7" t="n">
        <v>710</v>
      </c>
      <c r="F100" s="8">
        <f>AVERAGE(D100:E100)</f>
        <v/>
      </c>
      <c r="G100" s="9" t="n">
        <v>26</v>
      </c>
      <c r="H100" s="9" t="n">
        <v>36</v>
      </c>
      <c r="I100" s="10">
        <f>AVERAGE(G100:H100)</f>
        <v/>
      </c>
      <c r="J100" s="9" t="n">
        <v>21</v>
      </c>
      <c r="K100" s="9" t="n">
        <v>36</v>
      </c>
      <c r="L100" s="10">
        <f>AVERAGE(J100:K100)</f>
        <v/>
      </c>
      <c r="M100" s="5" t="inlineStr">
        <is>
          <t>logged</t>
        </is>
      </c>
      <c r="N100" s="6" t="inlineStr">
        <is>
          <t>Rice halved; generous chicken portion</t>
        </is>
      </c>
    </row>
    <row r="101">
      <c r="A101" s="4" t="n">
        <v>46288</v>
      </c>
      <c r="B101" s="5" t="inlineStr">
        <is>
          <t>Breakfast</t>
        </is>
      </c>
      <c r="C101" s="6" t="inlineStr">
        <is>
          <t>Large plain dosa + sambar + red chutney (white chutney skipped)</t>
        </is>
      </c>
      <c r="D101" s="7" t="n">
        <v>400</v>
      </c>
      <c r="E101" s="7" t="n">
        <v>620</v>
      </c>
      <c r="F101" s="8">
        <f>AVERAGE(D101:E101)</f>
        <v/>
      </c>
      <c r="G101" s="9" t="n">
        <v>10</v>
      </c>
      <c r="H101" s="9" t="n">
        <v>16</v>
      </c>
      <c r="I101" s="10">
        <f>AVERAGE(G101:H101)</f>
        <v/>
      </c>
      <c r="J101" s="9" t="n">
        <v>17</v>
      </c>
      <c r="K101" s="9" t="n">
        <v>33</v>
      </c>
      <c r="L101" s="10">
        <f>AVERAGE(J101:K101)</f>
        <v/>
      </c>
      <c r="M101" s="5" t="inlineStr">
        <is>
          <t>logged</t>
        </is>
      </c>
      <c r="N101" s="6" t="inlineStr">
        <is>
          <t>Plain rather than masala - no potato filling; tenth skip of the white chutney</t>
        </is>
      </c>
    </row>
    <row r="102">
      <c r="A102" s="4" t="n">
        <v>46288</v>
      </c>
      <c r="B102" s="5" t="inlineStr">
        <is>
          <t>Dinner</t>
        </is>
      </c>
      <c r="C102" s="6" t="inlineStr">
        <is>
          <t>2 chapati + chicken curry (2 small pieces)</t>
        </is>
      </c>
      <c r="D102" s="7" t="n">
        <v>380</v>
      </c>
      <c r="E102" s="7" t="n">
        <v>540</v>
      </c>
      <c r="F102" s="8">
        <f>AVERAGE(D102:E102)</f>
        <v/>
      </c>
      <c r="G102" s="9" t="n">
        <v>20</v>
      </c>
      <c r="H102" s="9" t="n">
        <v>28</v>
      </c>
      <c r="I102" s="10">
        <f>AVERAGE(G102:H102)</f>
        <v/>
      </c>
      <c r="J102" s="9" t="n">
        <v>16</v>
      </c>
      <c r="K102" s="9" t="n">
        <v>26</v>
      </c>
      <c r="L102" s="10">
        <f>AVERAGE(J102:K102)</f>
        <v/>
      </c>
      <c r="M102" s="5" t="inlineStr">
        <is>
          <t>logged</t>
        </is>
      </c>
      <c r="N102" s="6" t="inlineStr">
        <is>
          <t>Small chicken portion; gravy poured over both chapati</t>
        </is>
      </c>
    </row>
    <row r="103">
      <c r="A103" s="4" t="n">
        <v>46288</v>
      </c>
      <c r="B103" s="5" t="inlineStr">
        <is>
          <t>Lunch</t>
        </is>
      </c>
      <c r="C103" s="6" t="inlineStr">
        <is>
          <t>Mess meals plate + 2-egg omelette, pappadam, veg curry, chammanthi, pickle</t>
        </is>
      </c>
      <c r="D103" s="7" t="n">
        <v>630</v>
      </c>
      <c r="E103" s="7" t="n">
        <v>940</v>
      </c>
      <c r="F103" s="8">
        <f>AVERAGE(D103:E103)</f>
        <v/>
      </c>
      <c r="G103" s="9" t="n">
        <v>23</v>
      </c>
      <c r="H103" s="9" t="n">
        <v>31</v>
      </c>
      <c r="I103" s="10">
        <f>AVERAGE(G103:H103)</f>
        <v/>
      </c>
      <c r="J103" s="9" t="n">
        <v>27.5</v>
      </c>
      <c r="K103" s="9" t="n">
        <v>45</v>
      </c>
      <c r="L103" s="10">
        <f>AVERAGE(J103:K103)</f>
        <v/>
      </c>
      <c r="M103" s="5" t="inlineStr">
        <is>
          <t>logged</t>
        </is>
      </c>
      <c r="N103" s="6" t="inlineStr">
        <is>
          <t>Plate only - three side containers not counted; rice not stated as halved</t>
        </is>
      </c>
    </row>
    <row r="104">
      <c r="A104" s="4" t="n">
        <v>46288</v>
      </c>
      <c r="B104" s="5" t="inlineStr">
        <is>
          <t>Snack</t>
        </is>
      </c>
      <c r="C104" s="6" t="inlineStr">
        <is>
          <t>1-egg omelette</t>
        </is>
      </c>
      <c r="D104" s="7" t="n">
        <v>90</v>
      </c>
      <c r="E104" s="7" t="n">
        <v>140</v>
      </c>
      <c r="F104" s="8">
        <f>AVERAGE(D104:E104)</f>
        <v/>
      </c>
      <c r="G104" s="9" t="n">
        <v>6</v>
      </c>
      <c r="H104" s="9" t="n">
        <v>8</v>
      </c>
      <c r="I104" s="10">
        <f>AVERAGE(G104:H104)</f>
        <v/>
      </c>
      <c r="J104" s="9" t="n">
        <v>7</v>
      </c>
      <c r="K104" s="9" t="n">
        <v>11</v>
      </c>
      <c r="L104" s="10">
        <f>AVERAGE(J104:K104)</f>
        <v/>
      </c>
      <c r="M104" s="5" t="inlineStr">
        <is>
          <t>logged</t>
        </is>
      </c>
      <c r="N104" s="6" t="inlineStr">
        <is>
          <t>Second omelette of the day</t>
        </is>
      </c>
    </row>
    <row r="105">
      <c r="A105" s="4" t="n">
        <v>46289</v>
      </c>
      <c r="B105" s="5" t="inlineStr">
        <is>
          <t>Breakfast</t>
        </is>
      </c>
      <c r="C105" s="6" t="inlineStr">
        <is>
          <t>Large plain dosa + sambar + red chutney (white chutney skipped)</t>
        </is>
      </c>
      <c r="D105" s="7" t="n">
        <v>400</v>
      </c>
      <c r="E105" s="7" t="n">
        <v>620</v>
      </c>
      <c r="F105" s="8">
        <f>AVERAGE(D105:E105)</f>
        <v/>
      </c>
      <c r="G105" s="9" t="n">
        <v>10</v>
      </c>
      <c r="H105" s="9" t="n">
        <v>16</v>
      </c>
      <c r="I105" s="10">
        <f>AVERAGE(G105:H105)</f>
        <v/>
      </c>
      <c r="J105" s="9" t="n">
        <v>17</v>
      </c>
      <c r="K105" s="9" t="n">
        <v>33</v>
      </c>
      <c r="L105" s="10">
        <f>AVERAGE(J105:K105)</f>
        <v/>
      </c>
      <c r="M105" s="5" t="inlineStr">
        <is>
          <t>logged</t>
        </is>
      </c>
      <c r="N105" s="6" t="inlineStr">
        <is>
          <t>Plain dosa - not the menu's ghee roast; eleventh consecutive white chutney skip</t>
        </is>
      </c>
    </row>
    <row r="106">
      <c r="A106" s="4" t="n">
        <v>46289</v>
      </c>
      <c r="B106" s="5" t="inlineStr">
        <is>
          <t>Dinner</t>
        </is>
      </c>
      <c r="C106" s="6" t="inlineStr">
        <is>
          <t>Gobi chilly + 2 chapati</t>
        </is>
      </c>
      <c r="D106" s="7" t="n">
        <v>400</v>
      </c>
      <c r="E106" s="7" t="n">
        <v>560</v>
      </c>
      <c r="F106" s="8">
        <f>AVERAGE(D106:E106)</f>
        <v/>
      </c>
      <c r="G106" s="9" t="n">
        <v>11</v>
      </c>
      <c r="H106" s="9" t="n">
        <v>16</v>
      </c>
      <c r="I106" s="10">
        <f>AVERAGE(G106:H106)</f>
        <v/>
      </c>
      <c r="J106" s="9" t="n">
        <v>16</v>
      </c>
      <c r="K106" s="9" t="n">
        <v>28</v>
      </c>
      <c r="L106" s="10">
        <f>AVERAGE(J106:K106)</f>
        <v/>
      </c>
      <c r="M106" s="5" t="inlineStr">
        <is>
          <t>logged</t>
        </is>
      </c>
      <c r="N106" s="6" t="inlineStr">
        <is>
          <t>Thursday menu dinner as served; no meat on the menu</t>
        </is>
      </c>
    </row>
    <row r="107">
      <c r="A107" s="4" t="n">
        <v>46289</v>
      </c>
      <c r="B107" s="5" t="inlineStr">
        <is>
          <t>Lunch</t>
        </is>
      </c>
      <c r="C107" s="6" t="inlineStr">
        <is>
          <t>Mess meals plate - rice halved, pappadam, cabbage thoran, dal, curry gravy, 1 small chicken fry piece, small curd</t>
        </is>
      </c>
      <c r="D107" s="7" t="n">
        <v>570</v>
      </c>
      <c r="E107" s="7" t="n">
        <v>850</v>
      </c>
      <c r="F107" s="8">
        <f>AVERAGE(D107:E107)</f>
        <v/>
      </c>
      <c r="G107" s="9" t="n">
        <v>27</v>
      </c>
      <c r="H107" s="9" t="n">
        <v>40</v>
      </c>
      <c r="I107" s="10">
        <f>AVERAGE(G107:H107)</f>
        <v/>
      </c>
      <c r="J107" s="9" t="n">
        <v>22.5</v>
      </c>
      <c r="K107" s="9" t="n">
        <v>41</v>
      </c>
      <c r="L107" s="10">
        <f>AVERAGE(J107:K107)</f>
        <v/>
      </c>
      <c r="M107" s="5" t="inlineStr">
        <is>
          <t>logged</t>
        </is>
      </c>
      <c r="N107" s="6" t="inlineStr">
        <is>
          <t>Rice halved; chicken fry is the protein anchor on a menu day with no meat listed</t>
        </is>
      </c>
    </row>
    <row r="108">
      <c r="A108" s="4" t="n">
        <v>46289</v>
      </c>
      <c r="B108" s="5" t="inlineStr">
        <is>
          <t>Snack</t>
        </is>
      </c>
      <c r="C108" s="6" t="inlineStr">
        <is>
          <t>2 small pieces of beef from curry + 1 pazham pori</t>
        </is>
      </c>
      <c r="D108" s="7" t="n">
        <v>220</v>
      </c>
      <c r="E108" s="7" t="n">
        <v>330</v>
      </c>
      <c r="F108" s="8">
        <f>AVERAGE(D108:E108)</f>
        <v/>
      </c>
      <c r="G108" s="9" t="n">
        <v>10</v>
      </c>
      <c r="H108" s="9" t="n">
        <v>15</v>
      </c>
      <c r="I108" s="10">
        <f>AVERAGE(G108:H108)</f>
        <v/>
      </c>
      <c r="J108" s="9" t="n">
        <v>12</v>
      </c>
      <c r="K108" s="9" t="n">
        <v>20</v>
      </c>
      <c r="L108" s="10">
        <f>AVERAGE(J108:K108)</f>
        <v/>
      </c>
      <c r="M108" s="5" t="inlineStr">
        <is>
          <t>logged</t>
        </is>
      </c>
      <c r="N108" s="6" t="inlineStr">
        <is>
          <t>Pazham pori is deep-fried banana in batter; beef pieces are the only protein in the snack</t>
        </is>
      </c>
    </row>
    <row r="109">
      <c r="A109" s="4" t="n">
        <v>46290</v>
      </c>
      <c r="B109" s="5" t="inlineStr">
        <is>
          <t>Breakfast</t>
        </is>
      </c>
      <c r="C109" s="6" t="inlineStr">
        <is>
          <t>3 idli + sambar + red chutney (white chutney skipped)</t>
        </is>
      </c>
      <c r="D109" s="7" t="n">
        <v>280</v>
      </c>
      <c r="E109" s="7" t="n">
        <v>410</v>
      </c>
      <c r="F109" s="8">
        <f>AVERAGE(D109:E109)</f>
        <v/>
      </c>
      <c r="G109" s="9" t="n">
        <v>10</v>
      </c>
      <c r="H109" s="9" t="n">
        <v>13</v>
      </c>
      <c r="I109" s="10">
        <f>AVERAGE(G109:H109)</f>
        <v/>
      </c>
      <c r="J109" s="9" t="n">
        <v>6</v>
      </c>
      <c r="K109" s="9" t="n">
        <v>14</v>
      </c>
      <c r="L109" s="10">
        <f>AVERAGE(J109:K109)</f>
        <v/>
      </c>
      <c r="M109" s="5" t="inlineStr">
        <is>
          <t>logged</t>
        </is>
      </c>
      <c r="N109" s="6" t="inlineStr">
        <is>
          <t>Steamed not fried - cheapest breakfast on the weekly menu; twelfth consecutive white chutney skip</t>
        </is>
      </c>
    </row>
    <row r="110">
      <c r="A110" s="4" t="n">
        <v>46290</v>
      </c>
      <c r="B110" s="5" t="inlineStr">
        <is>
          <t>Dinner</t>
        </is>
      </c>
      <c r="C110" s="6" t="inlineStr">
        <is>
          <t>Half grilled chicken (skin on) + small kubbus + kadala curry + veggies + hummus</t>
        </is>
      </c>
      <c r="D110" s="7" t="n">
        <v>1160</v>
      </c>
      <c r="E110" s="7" t="n">
        <v>1610</v>
      </c>
      <c r="F110" s="8">
        <f>AVERAGE(D110:E110)</f>
        <v/>
      </c>
      <c r="G110" s="9" t="n">
        <v>80.5</v>
      </c>
      <c r="H110" s="9" t="n">
        <v>98.5</v>
      </c>
      <c r="I110" s="10">
        <f>AVERAGE(G110:H110)</f>
        <v/>
      </c>
      <c r="J110" s="9" t="n">
        <v>60</v>
      </c>
      <c r="K110" s="9" t="n">
        <v>86</v>
      </c>
      <c r="L110" s="10">
        <f>AVERAGE(J110:K110)</f>
        <v/>
      </c>
      <c r="M110" s="5" t="inlineStr">
        <is>
          <t>logged</t>
        </is>
      </c>
      <c r="N110" s="6" t="inlineStr">
        <is>
          <t>Restaurant grill dinner; skin kept</t>
        </is>
      </c>
    </row>
    <row r="111">
      <c r="A111" s="4" t="n">
        <v>46290</v>
      </c>
      <c r="B111" s="5" t="inlineStr">
        <is>
          <t>Lunch</t>
        </is>
      </c>
      <c r="C111" s="6" t="inlineStr">
        <is>
          <t>Chicken biriyani - rice halved, 2 chicken pieces, pappadam, salad/raita</t>
        </is>
      </c>
      <c r="D111" s="7" t="n">
        <v>550</v>
      </c>
      <c r="E111" s="7" t="n">
        <v>790</v>
      </c>
      <c r="F111" s="8">
        <f>AVERAGE(D111:E111)</f>
        <v/>
      </c>
      <c r="G111" s="9" t="n">
        <v>34</v>
      </c>
      <c r="H111" s="9" t="n">
        <v>50</v>
      </c>
      <c r="I111" s="10">
        <f>AVERAGE(G111:H111)</f>
        <v/>
      </c>
      <c r="J111" s="9" t="n">
        <v>23</v>
      </c>
      <c r="K111" s="9" t="n">
        <v>42</v>
      </c>
      <c r="L111" s="10">
        <f>AVERAGE(J111:K111)</f>
        <v/>
      </c>
      <c r="M111" s="5" t="inlineStr">
        <is>
          <t>logged</t>
        </is>
      </c>
      <c r="N111" s="6" t="inlineStr">
        <is>
          <t>Rice halved but both chicken pieces kept; 6.3 g protein per 100 kcal</t>
        </is>
      </c>
    </row>
    <row r="112">
      <c r="A112" s="4" t="n">
        <v>46290</v>
      </c>
      <c r="B112" s="5" t="inlineStr">
        <is>
          <t>Snack</t>
        </is>
      </c>
      <c r="C112" s="6" t="inlineStr">
        <is>
          <t>Black coffee + 1 whey scoop</t>
        </is>
      </c>
      <c r="D112" s="7" t="n">
        <v>100</v>
      </c>
      <c r="E112" s="7" t="n">
        <v>130</v>
      </c>
      <c r="F112" s="8">
        <f>AVERAGE(D112:E112)</f>
        <v/>
      </c>
      <c r="G112" s="9" t="n">
        <v>20</v>
      </c>
      <c r="H112" s="9" t="n">
        <v>25</v>
      </c>
      <c r="I112" s="10">
        <f>AVERAGE(G112:H112)</f>
        <v/>
      </c>
      <c r="J112" s="9" t="n">
        <v>1</v>
      </c>
      <c r="K112" s="9" t="n">
        <v>3</v>
      </c>
      <c r="L112" s="10">
        <f>AVERAGE(J112:K112)</f>
        <v/>
      </c>
      <c r="M112" s="5" t="inlineStr">
        <is>
          <t>logged</t>
        </is>
      </c>
      <c r="N112" s="6" t="inlineStr">
        <is>
          <t>Taken 1 hour before lunch - first scoop of the day placed before a meal rather than after dinner</t>
        </is>
      </c>
    </row>
    <row r="113">
      <c r="A113" s="4" t="n">
        <v>46290</v>
      </c>
      <c r="B113" s="5" t="inlineStr">
        <is>
          <t>Snack</t>
        </is>
      </c>
      <c r="C113" s="6" t="inlineStr">
        <is>
          <t>Black coffee + 1 whey scoop + a fist of walnuts (~30 g)</t>
        </is>
      </c>
      <c r="D113" s="7" t="n">
        <v>265</v>
      </c>
      <c r="E113" s="7" t="n">
        <v>360</v>
      </c>
      <c r="F113" s="8">
        <f>AVERAGE(D113:E113)</f>
        <v/>
      </c>
      <c r="G113" s="9" t="n">
        <v>24</v>
      </c>
      <c r="H113" s="9" t="n">
        <v>30.5</v>
      </c>
      <c r="I113" s="10">
        <f>AVERAGE(G113:H113)</f>
        <v/>
      </c>
      <c r="J113" s="9" t="n">
        <v>17</v>
      </c>
      <c r="K113" s="9" t="n">
        <v>26</v>
      </c>
      <c r="L113" s="10">
        <f>AVERAGE(J113:K113)</f>
        <v/>
      </c>
      <c r="M113" s="5" t="inlineStr">
        <is>
          <t>logged</t>
        </is>
      </c>
      <c r="N113" s="6" t="inlineStr">
        <is>
          <t>Second scoop of the day; walnuts are ~13 halves</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6"/>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SUMIFS(Meals!$D$5:$D$113,Meals!$A$5:$A$113,$A5,Meals!$M$5:$M$113,"logged")</f>
        <v/>
      </c>
      <c r="C5" s="8">
        <f>SUMIFS(Meals!$E$5:$E$113,Meals!$A$5:$A$113,$A5,Meals!$M$5:$M$113,"logged")</f>
        <v/>
      </c>
      <c r="D5" s="8">
        <f>AVERAGE(B5:C5)</f>
        <v/>
      </c>
      <c r="E5" s="10">
        <f>SUMIFS(Meals!$G$5:$G$113,Meals!$A$5:$A$113,$A5,Meals!$M$5:$M$113,"logged")</f>
        <v/>
      </c>
      <c r="F5" s="10">
        <f>SUMIFS(Meals!$H$5:$H$113,Meals!$A$5:$A$113,$A5,Meals!$M$5:$M$113,"logged")</f>
        <v/>
      </c>
      <c r="G5" s="10">
        <f>AVERAGE(E5:F5)</f>
        <v/>
      </c>
      <c r="H5" s="10">
        <f>SUMIFS(Meals!$J$5:$J$113,Meals!$A$5:$A$113,$A5,Meals!$M$5:$M$113,"logged")</f>
        <v/>
      </c>
      <c r="I5" s="10">
        <f>SUMIFS(Meals!$K$5:$K$113,Meals!$A$5:$A$113,$A5,Meals!$M$5:$M$113,"logged")</f>
        <v/>
      </c>
      <c r="J5" s="10">
        <f>AVERAGE(H5:I5)</f>
        <v/>
      </c>
      <c r="K5" s="18">
        <f>COUNTIFS(Meals!$A$5:$A$113,$A5,Meals!$M$5:$M$113,"logged")</f>
        <v/>
      </c>
      <c r="L5" s="18">
        <f>COUNTIFS(Meals!$A$5:$A$113,$A5,Meals!$M$5:$M$113,"pending")</f>
        <v/>
      </c>
      <c r="M5" s="19">
        <f>D5-Targets!$B$16</f>
        <v/>
      </c>
    </row>
    <row r="6">
      <c r="A6" s="20" t="n">
        <v>46270</v>
      </c>
      <c r="B6" s="21">
        <f>SUMIFS(Meals!$D$5:$D$113,Meals!$A$5:$A$113,$A6,Meals!$M$5:$M$113,"logged")</f>
        <v/>
      </c>
      <c r="C6" s="21">
        <f>SUMIFS(Meals!$E$5:$E$113,Meals!$A$5:$A$113,$A6,Meals!$M$5:$M$113,"logged")</f>
        <v/>
      </c>
      <c r="D6" s="21">
        <f>AVERAGE(B6:C6)</f>
        <v/>
      </c>
      <c r="E6" s="22">
        <f>SUMIFS(Meals!$G$5:$G$113,Meals!$A$5:$A$113,$A6,Meals!$M$5:$M$113,"logged")</f>
        <v/>
      </c>
      <c r="F6" s="22">
        <f>SUMIFS(Meals!$H$5:$H$113,Meals!$A$5:$A$113,$A6,Meals!$M$5:$M$113,"logged")</f>
        <v/>
      </c>
      <c r="G6" s="22">
        <f>AVERAGE(E6:F6)</f>
        <v/>
      </c>
      <c r="H6" s="22">
        <f>SUMIFS(Meals!$J$5:$J$113,Meals!$A$5:$A$113,$A6,Meals!$M$5:$M$113,"logged")</f>
        <v/>
      </c>
      <c r="I6" s="22">
        <f>SUMIFS(Meals!$K$5:$K$113,Meals!$A$5:$A$113,$A6,Meals!$M$5:$M$113,"logged")</f>
        <v/>
      </c>
      <c r="J6" s="22">
        <f>AVERAGE(H6:I6)</f>
        <v/>
      </c>
      <c r="K6" s="20">
        <f>COUNTIFS(Meals!$A$5:$A$113,$A6,Meals!$M$5:$M$113,"logged")</f>
        <v/>
      </c>
      <c r="L6" s="20">
        <f>COUNTIFS(Meals!$A$5:$A$113,$A6,Meals!$M$5:$M$113,"pending")</f>
        <v/>
      </c>
      <c r="M6" s="23">
        <f>D6-Targets!$B$16</f>
        <v/>
      </c>
    </row>
    <row r="7">
      <c r="A7" s="18" t="n">
        <v>46271</v>
      </c>
      <c r="B7" s="8">
        <f>SUMIFS(Meals!$D$5:$D$113,Meals!$A$5:$A$113,$A7,Meals!$M$5:$M$113,"logged")</f>
        <v/>
      </c>
      <c r="C7" s="8">
        <f>SUMIFS(Meals!$E$5:$E$113,Meals!$A$5:$A$113,$A7,Meals!$M$5:$M$113,"logged")</f>
        <v/>
      </c>
      <c r="D7" s="8">
        <f>AVERAGE(B7:C7)</f>
        <v/>
      </c>
      <c r="E7" s="10">
        <f>SUMIFS(Meals!$G$5:$G$113,Meals!$A$5:$A$113,$A7,Meals!$M$5:$M$113,"logged")</f>
        <v/>
      </c>
      <c r="F7" s="10">
        <f>SUMIFS(Meals!$H$5:$H$113,Meals!$A$5:$A$113,$A7,Meals!$M$5:$M$113,"logged")</f>
        <v/>
      </c>
      <c r="G7" s="10">
        <f>AVERAGE(E7:F7)</f>
        <v/>
      </c>
      <c r="H7" s="10">
        <f>SUMIFS(Meals!$J$5:$J$113,Meals!$A$5:$A$113,$A7,Meals!$M$5:$M$113,"logged")</f>
        <v/>
      </c>
      <c r="I7" s="10">
        <f>SUMIFS(Meals!$K$5:$K$113,Meals!$A$5:$A$113,$A7,Meals!$M$5:$M$113,"logged")</f>
        <v/>
      </c>
      <c r="J7" s="10">
        <f>AVERAGE(H7:I7)</f>
        <v/>
      </c>
      <c r="K7" s="18">
        <f>COUNTIFS(Meals!$A$5:$A$113,$A7,Meals!$M$5:$M$113,"logged")</f>
        <v/>
      </c>
      <c r="L7" s="18">
        <f>COUNTIFS(Meals!$A$5:$A$113,$A7,Meals!$M$5:$M$113,"pending")</f>
        <v/>
      </c>
      <c r="M7" s="19">
        <f>D7-Targets!$B$16</f>
        <v/>
      </c>
    </row>
    <row r="8">
      <c r="A8" s="20" t="n">
        <v>46272</v>
      </c>
      <c r="B8" s="21">
        <f>SUMIFS(Meals!$D$5:$D$113,Meals!$A$5:$A$113,$A8,Meals!$M$5:$M$113,"logged")</f>
        <v/>
      </c>
      <c r="C8" s="21">
        <f>SUMIFS(Meals!$E$5:$E$113,Meals!$A$5:$A$113,$A8,Meals!$M$5:$M$113,"logged")</f>
        <v/>
      </c>
      <c r="D8" s="21">
        <f>AVERAGE(B8:C8)</f>
        <v/>
      </c>
      <c r="E8" s="22">
        <f>SUMIFS(Meals!$G$5:$G$113,Meals!$A$5:$A$113,$A8,Meals!$M$5:$M$113,"logged")</f>
        <v/>
      </c>
      <c r="F8" s="22">
        <f>SUMIFS(Meals!$H$5:$H$113,Meals!$A$5:$A$113,$A8,Meals!$M$5:$M$113,"logged")</f>
        <v/>
      </c>
      <c r="G8" s="22">
        <f>AVERAGE(E8:F8)</f>
        <v/>
      </c>
      <c r="H8" s="22">
        <f>SUMIFS(Meals!$J$5:$J$113,Meals!$A$5:$A$113,$A8,Meals!$M$5:$M$113,"logged")</f>
        <v/>
      </c>
      <c r="I8" s="22">
        <f>SUMIFS(Meals!$K$5:$K$113,Meals!$A$5:$A$113,$A8,Meals!$M$5:$M$113,"logged")</f>
        <v/>
      </c>
      <c r="J8" s="22">
        <f>AVERAGE(H8:I8)</f>
        <v/>
      </c>
      <c r="K8" s="20">
        <f>COUNTIFS(Meals!$A$5:$A$113,$A8,Meals!$M$5:$M$113,"logged")</f>
        <v/>
      </c>
      <c r="L8" s="20">
        <f>COUNTIFS(Meals!$A$5:$A$113,$A8,Meals!$M$5:$M$113,"pending")</f>
        <v/>
      </c>
      <c r="M8" s="23">
        <f>D8-Targets!$B$16</f>
        <v/>
      </c>
    </row>
    <row r="9">
      <c r="A9" s="18" t="n">
        <v>46273</v>
      </c>
      <c r="B9" s="8">
        <f>SUMIFS(Meals!$D$5:$D$113,Meals!$A$5:$A$113,$A9,Meals!$M$5:$M$113,"logged")</f>
        <v/>
      </c>
      <c r="C9" s="8">
        <f>SUMIFS(Meals!$E$5:$E$113,Meals!$A$5:$A$113,$A9,Meals!$M$5:$M$113,"logged")</f>
        <v/>
      </c>
      <c r="D9" s="8">
        <f>AVERAGE(B9:C9)</f>
        <v/>
      </c>
      <c r="E9" s="10">
        <f>SUMIFS(Meals!$G$5:$G$113,Meals!$A$5:$A$113,$A9,Meals!$M$5:$M$113,"logged")</f>
        <v/>
      </c>
      <c r="F9" s="10">
        <f>SUMIFS(Meals!$H$5:$H$113,Meals!$A$5:$A$113,$A9,Meals!$M$5:$M$113,"logged")</f>
        <v/>
      </c>
      <c r="G9" s="10">
        <f>AVERAGE(E9:F9)</f>
        <v/>
      </c>
      <c r="H9" s="10">
        <f>SUMIFS(Meals!$J$5:$J$113,Meals!$A$5:$A$113,$A9,Meals!$M$5:$M$113,"logged")</f>
        <v/>
      </c>
      <c r="I9" s="10">
        <f>SUMIFS(Meals!$K$5:$K$113,Meals!$A$5:$A$113,$A9,Meals!$M$5:$M$113,"logged")</f>
        <v/>
      </c>
      <c r="J9" s="10">
        <f>AVERAGE(H9:I9)</f>
        <v/>
      </c>
      <c r="K9" s="18">
        <f>COUNTIFS(Meals!$A$5:$A$113,$A9,Meals!$M$5:$M$113,"logged")</f>
        <v/>
      </c>
      <c r="L9" s="18">
        <f>COUNTIFS(Meals!$A$5:$A$113,$A9,Meals!$M$5:$M$113,"pending")</f>
        <v/>
      </c>
      <c r="M9" s="19">
        <f>D9-Targets!$B$16</f>
        <v/>
      </c>
    </row>
    <row r="10">
      <c r="A10" s="20" t="n">
        <v>46274</v>
      </c>
      <c r="B10" s="21">
        <f>SUMIFS(Meals!$D$5:$D$113,Meals!$A$5:$A$113,$A10,Meals!$M$5:$M$113,"logged")</f>
        <v/>
      </c>
      <c r="C10" s="21">
        <f>SUMIFS(Meals!$E$5:$E$113,Meals!$A$5:$A$113,$A10,Meals!$M$5:$M$113,"logged")</f>
        <v/>
      </c>
      <c r="D10" s="21">
        <f>AVERAGE(B10:C10)</f>
        <v/>
      </c>
      <c r="E10" s="22">
        <f>SUMIFS(Meals!$G$5:$G$113,Meals!$A$5:$A$113,$A10,Meals!$M$5:$M$113,"logged")</f>
        <v/>
      </c>
      <c r="F10" s="22">
        <f>SUMIFS(Meals!$H$5:$H$113,Meals!$A$5:$A$113,$A10,Meals!$M$5:$M$113,"logged")</f>
        <v/>
      </c>
      <c r="G10" s="22">
        <f>AVERAGE(E10:F10)</f>
        <v/>
      </c>
      <c r="H10" s="22">
        <f>SUMIFS(Meals!$J$5:$J$113,Meals!$A$5:$A$113,$A10,Meals!$M$5:$M$113,"logged")</f>
        <v/>
      </c>
      <c r="I10" s="22">
        <f>SUMIFS(Meals!$K$5:$K$113,Meals!$A$5:$A$113,$A10,Meals!$M$5:$M$113,"logged")</f>
        <v/>
      </c>
      <c r="J10" s="22">
        <f>AVERAGE(H10:I10)</f>
        <v/>
      </c>
      <c r="K10" s="20">
        <f>COUNTIFS(Meals!$A$5:$A$113,$A10,Meals!$M$5:$M$113,"logged")</f>
        <v/>
      </c>
      <c r="L10" s="20">
        <f>COUNTIFS(Meals!$A$5:$A$113,$A10,Meals!$M$5:$M$113,"pending")</f>
        <v/>
      </c>
      <c r="M10" s="23">
        <f>D10-Targets!$B$16</f>
        <v/>
      </c>
    </row>
    <row r="11">
      <c r="A11" s="18" t="n">
        <v>46275</v>
      </c>
      <c r="B11" s="8">
        <f>SUMIFS(Meals!$D$5:$D$113,Meals!$A$5:$A$113,$A11,Meals!$M$5:$M$113,"logged")</f>
        <v/>
      </c>
      <c r="C11" s="8">
        <f>SUMIFS(Meals!$E$5:$E$113,Meals!$A$5:$A$113,$A11,Meals!$M$5:$M$113,"logged")</f>
        <v/>
      </c>
      <c r="D11" s="8">
        <f>AVERAGE(B11:C11)</f>
        <v/>
      </c>
      <c r="E11" s="10">
        <f>SUMIFS(Meals!$G$5:$G$113,Meals!$A$5:$A$113,$A11,Meals!$M$5:$M$113,"logged")</f>
        <v/>
      </c>
      <c r="F11" s="10">
        <f>SUMIFS(Meals!$H$5:$H$113,Meals!$A$5:$A$113,$A11,Meals!$M$5:$M$113,"logged")</f>
        <v/>
      </c>
      <c r="G11" s="10">
        <f>AVERAGE(E11:F11)</f>
        <v/>
      </c>
      <c r="H11" s="10">
        <f>SUMIFS(Meals!$J$5:$J$113,Meals!$A$5:$A$113,$A11,Meals!$M$5:$M$113,"logged")</f>
        <v/>
      </c>
      <c r="I11" s="10">
        <f>SUMIFS(Meals!$K$5:$K$113,Meals!$A$5:$A$113,$A11,Meals!$M$5:$M$113,"logged")</f>
        <v/>
      </c>
      <c r="J11" s="10">
        <f>AVERAGE(H11:I11)</f>
        <v/>
      </c>
      <c r="K11" s="18">
        <f>COUNTIFS(Meals!$A$5:$A$113,$A11,Meals!$M$5:$M$113,"logged")</f>
        <v/>
      </c>
      <c r="L11" s="18">
        <f>COUNTIFS(Meals!$A$5:$A$113,$A11,Meals!$M$5:$M$113,"pending")</f>
        <v/>
      </c>
      <c r="M11" s="19">
        <f>D11-Targets!$B$16</f>
        <v/>
      </c>
    </row>
    <row r="12">
      <c r="A12" s="20" t="n">
        <v>46276</v>
      </c>
      <c r="B12" s="21">
        <f>SUMIFS(Meals!$D$5:$D$113,Meals!$A$5:$A$113,$A12,Meals!$M$5:$M$113,"logged")</f>
        <v/>
      </c>
      <c r="C12" s="21">
        <f>SUMIFS(Meals!$E$5:$E$113,Meals!$A$5:$A$113,$A12,Meals!$M$5:$M$113,"logged")</f>
        <v/>
      </c>
      <c r="D12" s="21">
        <f>AVERAGE(B12:C12)</f>
        <v/>
      </c>
      <c r="E12" s="22">
        <f>SUMIFS(Meals!$G$5:$G$113,Meals!$A$5:$A$113,$A12,Meals!$M$5:$M$113,"logged")</f>
        <v/>
      </c>
      <c r="F12" s="22">
        <f>SUMIFS(Meals!$H$5:$H$113,Meals!$A$5:$A$113,$A12,Meals!$M$5:$M$113,"logged")</f>
        <v/>
      </c>
      <c r="G12" s="22">
        <f>AVERAGE(E12:F12)</f>
        <v/>
      </c>
      <c r="H12" s="22">
        <f>SUMIFS(Meals!$J$5:$J$113,Meals!$A$5:$A$113,$A12,Meals!$M$5:$M$113,"logged")</f>
        <v/>
      </c>
      <c r="I12" s="22">
        <f>SUMIFS(Meals!$K$5:$K$113,Meals!$A$5:$A$113,$A12,Meals!$M$5:$M$113,"logged")</f>
        <v/>
      </c>
      <c r="J12" s="22">
        <f>AVERAGE(H12:I12)</f>
        <v/>
      </c>
      <c r="K12" s="20">
        <f>COUNTIFS(Meals!$A$5:$A$113,$A12,Meals!$M$5:$M$113,"logged")</f>
        <v/>
      </c>
      <c r="L12" s="20">
        <f>COUNTIFS(Meals!$A$5:$A$113,$A12,Meals!$M$5:$M$113,"pending")</f>
        <v/>
      </c>
      <c r="M12" s="23">
        <f>D12-Targets!$B$16</f>
        <v/>
      </c>
    </row>
    <row r="13">
      <c r="A13" s="18" t="n">
        <v>46277</v>
      </c>
      <c r="B13" s="8">
        <f>SUMIFS(Meals!$D$5:$D$113,Meals!$A$5:$A$113,$A13,Meals!$M$5:$M$113,"logged")</f>
        <v/>
      </c>
      <c r="C13" s="8">
        <f>SUMIFS(Meals!$E$5:$E$113,Meals!$A$5:$A$113,$A13,Meals!$M$5:$M$113,"logged")</f>
        <v/>
      </c>
      <c r="D13" s="8">
        <f>AVERAGE(B13:C13)</f>
        <v/>
      </c>
      <c r="E13" s="10">
        <f>SUMIFS(Meals!$G$5:$G$113,Meals!$A$5:$A$113,$A13,Meals!$M$5:$M$113,"logged")</f>
        <v/>
      </c>
      <c r="F13" s="10">
        <f>SUMIFS(Meals!$H$5:$H$113,Meals!$A$5:$A$113,$A13,Meals!$M$5:$M$113,"logged")</f>
        <v/>
      </c>
      <c r="G13" s="10">
        <f>AVERAGE(E13:F13)</f>
        <v/>
      </c>
      <c r="H13" s="10">
        <f>SUMIFS(Meals!$J$5:$J$113,Meals!$A$5:$A$113,$A13,Meals!$M$5:$M$113,"logged")</f>
        <v/>
      </c>
      <c r="I13" s="10">
        <f>SUMIFS(Meals!$K$5:$K$113,Meals!$A$5:$A$113,$A13,Meals!$M$5:$M$113,"logged")</f>
        <v/>
      </c>
      <c r="J13" s="10">
        <f>AVERAGE(H13:I13)</f>
        <v/>
      </c>
      <c r="K13" s="18">
        <f>COUNTIFS(Meals!$A$5:$A$113,$A13,Meals!$M$5:$M$113,"logged")</f>
        <v/>
      </c>
      <c r="L13" s="18">
        <f>COUNTIFS(Meals!$A$5:$A$113,$A13,Meals!$M$5:$M$113,"pending")</f>
        <v/>
      </c>
      <c r="M13" s="19">
        <f>D13-Targets!$B$16</f>
        <v/>
      </c>
    </row>
    <row r="14">
      <c r="A14" s="20" t="n">
        <v>46278</v>
      </c>
      <c r="B14" s="21">
        <f>SUMIFS(Meals!$D$5:$D$113,Meals!$A$5:$A$113,$A14,Meals!$M$5:$M$113,"logged")</f>
        <v/>
      </c>
      <c r="C14" s="21">
        <f>SUMIFS(Meals!$E$5:$E$113,Meals!$A$5:$A$113,$A14,Meals!$M$5:$M$113,"logged")</f>
        <v/>
      </c>
      <c r="D14" s="21">
        <f>AVERAGE(B14:C14)</f>
        <v/>
      </c>
      <c r="E14" s="22">
        <f>SUMIFS(Meals!$G$5:$G$113,Meals!$A$5:$A$113,$A14,Meals!$M$5:$M$113,"logged")</f>
        <v/>
      </c>
      <c r="F14" s="22">
        <f>SUMIFS(Meals!$H$5:$H$113,Meals!$A$5:$A$113,$A14,Meals!$M$5:$M$113,"logged")</f>
        <v/>
      </c>
      <c r="G14" s="22">
        <f>AVERAGE(E14:F14)</f>
        <v/>
      </c>
      <c r="H14" s="22">
        <f>SUMIFS(Meals!$J$5:$J$113,Meals!$A$5:$A$113,$A14,Meals!$M$5:$M$113,"logged")</f>
        <v/>
      </c>
      <c r="I14" s="22">
        <f>SUMIFS(Meals!$K$5:$K$113,Meals!$A$5:$A$113,$A14,Meals!$M$5:$M$113,"logged")</f>
        <v/>
      </c>
      <c r="J14" s="22">
        <f>AVERAGE(H14:I14)</f>
        <v/>
      </c>
      <c r="K14" s="20">
        <f>COUNTIFS(Meals!$A$5:$A$113,$A14,Meals!$M$5:$M$113,"logged")</f>
        <v/>
      </c>
      <c r="L14" s="20">
        <f>COUNTIFS(Meals!$A$5:$A$113,$A14,Meals!$M$5:$M$113,"pending")</f>
        <v/>
      </c>
      <c r="M14" s="23">
        <f>D14-Targets!$B$16</f>
        <v/>
      </c>
    </row>
    <row r="15">
      <c r="A15" s="18" t="n">
        <v>46279</v>
      </c>
      <c r="B15" s="8">
        <f>SUMIFS(Meals!$D$5:$D$113,Meals!$A$5:$A$113,$A15,Meals!$M$5:$M$113,"logged")</f>
        <v/>
      </c>
      <c r="C15" s="8">
        <f>SUMIFS(Meals!$E$5:$E$113,Meals!$A$5:$A$113,$A15,Meals!$M$5:$M$113,"logged")</f>
        <v/>
      </c>
      <c r="D15" s="8">
        <f>AVERAGE(B15:C15)</f>
        <v/>
      </c>
      <c r="E15" s="10">
        <f>SUMIFS(Meals!$G$5:$G$113,Meals!$A$5:$A$113,$A15,Meals!$M$5:$M$113,"logged")</f>
        <v/>
      </c>
      <c r="F15" s="10">
        <f>SUMIFS(Meals!$H$5:$H$113,Meals!$A$5:$A$113,$A15,Meals!$M$5:$M$113,"logged")</f>
        <v/>
      </c>
      <c r="G15" s="10">
        <f>AVERAGE(E15:F15)</f>
        <v/>
      </c>
      <c r="H15" s="10">
        <f>SUMIFS(Meals!$J$5:$J$113,Meals!$A$5:$A$113,$A15,Meals!$M$5:$M$113,"logged")</f>
        <v/>
      </c>
      <c r="I15" s="10">
        <f>SUMIFS(Meals!$K$5:$K$113,Meals!$A$5:$A$113,$A15,Meals!$M$5:$M$113,"logged")</f>
        <v/>
      </c>
      <c r="J15" s="10">
        <f>AVERAGE(H15:I15)</f>
        <v/>
      </c>
      <c r="K15" s="18">
        <f>COUNTIFS(Meals!$A$5:$A$113,$A15,Meals!$M$5:$M$113,"logged")</f>
        <v/>
      </c>
      <c r="L15" s="18">
        <f>COUNTIFS(Meals!$A$5:$A$113,$A15,Meals!$M$5:$M$113,"pending")</f>
        <v/>
      </c>
      <c r="M15" s="19">
        <f>D15-Targets!$B$16</f>
        <v/>
      </c>
    </row>
    <row r="16">
      <c r="A16" s="20" t="n">
        <v>46280</v>
      </c>
      <c r="B16" s="21">
        <f>SUMIFS(Meals!$D$5:$D$113,Meals!$A$5:$A$113,$A16,Meals!$M$5:$M$113,"logged")</f>
        <v/>
      </c>
      <c r="C16" s="21">
        <f>SUMIFS(Meals!$E$5:$E$113,Meals!$A$5:$A$113,$A16,Meals!$M$5:$M$113,"logged")</f>
        <v/>
      </c>
      <c r="D16" s="21">
        <f>AVERAGE(B16:C16)</f>
        <v/>
      </c>
      <c r="E16" s="22">
        <f>SUMIFS(Meals!$G$5:$G$113,Meals!$A$5:$A$113,$A16,Meals!$M$5:$M$113,"logged")</f>
        <v/>
      </c>
      <c r="F16" s="22">
        <f>SUMIFS(Meals!$H$5:$H$113,Meals!$A$5:$A$113,$A16,Meals!$M$5:$M$113,"logged")</f>
        <v/>
      </c>
      <c r="G16" s="22">
        <f>AVERAGE(E16:F16)</f>
        <v/>
      </c>
      <c r="H16" s="22">
        <f>SUMIFS(Meals!$J$5:$J$113,Meals!$A$5:$A$113,$A16,Meals!$M$5:$M$113,"logged")</f>
        <v/>
      </c>
      <c r="I16" s="22">
        <f>SUMIFS(Meals!$K$5:$K$113,Meals!$A$5:$A$113,$A16,Meals!$M$5:$M$113,"logged")</f>
        <v/>
      </c>
      <c r="J16" s="22">
        <f>AVERAGE(H16:I16)</f>
        <v/>
      </c>
      <c r="K16" s="20">
        <f>COUNTIFS(Meals!$A$5:$A$113,$A16,Meals!$M$5:$M$113,"logged")</f>
        <v/>
      </c>
      <c r="L16" s="20">
        <f>COUNTIFS(Meals!$A$5:$A$113,$A16,Meals!$M$5:$M$113,"pending")</f>
        <v/>
      </c>
      <c r="M16" s="23">
        <f>D16-Targets!$B$16</f>
        <v/>
      </c>
    </row>
    <row r="17">
      <c r="A17" s="18" t="n">
        <v>46281</v>
      </c>
      <c r="B17" s="8">
        <f>SUMIFS(Meals!$D$5:$D$113,Meals!$A$5:$A$113,$A17,Meals!$M$5:$M$113,"logged")</f>
        <v/>
      </c>
      <c r="C17" s="8">
        <f>SUMIFS(Meals!$E$5:$E$113,Meals!$A$5:$A$113,$A17,Meals!$M$5:$M$113,"logged")</f>
        <v/>
      </c>
      <c r="D17" s="8">
        <f>AVERAGE(B17:C17)</f>
        <v/>
      </c>
      <c r="E17" s="10">
        <f>SUMIFS(Meals!$G$5:$G$113,Meals!$A$5:$A$113,$A17,Meals!$M$5:$M$113,"logged")</f>
        <v/>
      </c>
      <c r="F17" s="10">
        <f>SUMIFS(Meals!$H$5:$H$113,Meals!$A$5:$A$113,$A17,Meals!$M$5:$M$113,"logged")</f>
        <v/>
      </c>
      <c r="G17" s="10">
        <f>AVERAGE(E17:F17)</f>
        <v/>
      </c>
      <c r="H17" s="10">
        <f>SUMIFS(Meals!$J$5:$J$113,Meals!$A$5:$A$113,$A17,Meals!$M$5:$M$113,"logged")</f>
        <v/>
      </c>
      <c r="I17" s="10">
        <f>SUMIFS(Meals!$K$5:$K$113,Meals!$A$5:$A$113,$A17,Meals!$M$5:$M$113,"logged")</f>
        <v/>
      </c>
      <c r="J17" s="10">
        <f>AVERAGE(H17:I17)</f>
        <v/>
      </c>
      <c r="K17" s="18">
        <f>COUNTIFS(Meals!$A$5:$A$113,$A17,Meals!$M$5:$M$113,"logged")</f>
        <v/>
      </c>
      <c r="L17" s="18">
        <f>COUNTIFS(Meals!$A$5:$A$113,$A17,Meals!$M$5:$M$113,"pending")</f>
        <v/>
      </c>
      <c r="M17" s="19">
        <f>D17-Targets!$B$16</f>
        <v/>
      </c>
    </row>
    <row r="18">
      <c r="A18" s="20" t="n">
        <v>46282</v>
      </c>
      <c r="B18" s="21">
        <f>SUMIFS(Meals!$D$5:$D$113,Meals!$A$5:$A$113,$A18,Meals!$M$5:$M$113,"logged")</f>
        <v/>
      </c>
      <c r="C18" s="21">
        <f>SUMIFS(Meals!$E$5:$E$113,Meals!$A$5:$A$113,$A18,Meals!$M$5:$M$113,"logged")</f>
        <v/>
      </c>
      <c r="D18" s="21">
        <f>AVERAGE(B18:C18)</f>
        <v/>
      </c>
      <c r="E18" s="22">
        <f>SUMIFS(Meals!$G$5:$G$113,Meals!$A$5:$A$113,$A18,Meals!$M$5:$M$113,"logged")</f>
        <v/>
      </c>
      <c r="F18" s="22">
        <f>SUMIFS(Meals!$H$5:$H$113,Meals!$A$5:$A$113,$A18,Meals!$M$5:$M$113,"logged")</f>
        <v/>
      </c>
      <c r="G18" s="22">
        <f>AVERAGE(E18:F18)</f>
        <v/>
      </c>
      <c r="H18" s="22">
        <f>SUMIFS(Meals!$J$5:$J$113,Meals!$A$5:$A$113,$A18,Meals!$M$5:$M$113,"logged")</f>
        <v/>
      </c>
      <c r="I18" s="22">
        <f>SUMIFS(Meals!$K$5:$K$113,Meals!$A$5:$A$113,$A18,Meals!$M$5:$M$113,"logged")</f>
        <v/>
      </c>
      <c r="J18" s="22">
        <f>AVERAGE(H18:I18)</f>
        <v/>
      </c>
      <c r="K18" s="20">
        <f>COUNTIFS(Meals!$A$5:$A$113,$A18,Meals!$M$5:$M$113,"logged")</f>
        <v/>
      </c>
      <c r="L18" s="20">
        <f>COUNTIFS(Meals!$A$5:$A$113,$A18,Meals!$M$5:$M$113,"pending")</f>
        <v/>
      </c>
      <c r="M18" s="23">
        <f>D18-Targets!$B$16</f>
        <v/>
      </c>
    </row>
    <row r="19">
      <c r="A19" s="18" t="n">
        <v>46283</v>
      </c>
      <c r="B19" s="8">
        <f>SUMIFS(Meals!$D$5:$D$113,Meals!$A$5:$A$113,$A19,Meals!$M$5:$M$113,"logged")</f>
        <v/>
      </c>
      <c r="C19" s="8">
        <f>SUMIFS(Meals!$E$5:$E$113,Meals!$A$5:$A$113,$A19,Meals!$M$5:$M$113,"logged")</f>
        <v/>
      </c>
      <c r="D19" s="8">
        <f>AVERAGE(B19:C19)</f>
        <v/>
      </c>
      <c r="E19" s="10">
        <f>SUMIFS(Meals!$G$5:$G$113,Meals!$A$5:$A$113,$A19,Meals!$M$5:$M$113,"logged")</f>
        <v/>
      </c>
      <c r="F19" s="10">
        <f>SUMIFS(Meals!$H$5:$H$113,Meals!$A$5:$A$113,$A19,Meals!$M$5:$M$113,"logged")</f>
        <v/>
      </c>
      <c r="G19" s="10">
        <f>AVERAGE(E19:F19)</f>
        <v/>
      </c>
      <c r="H19" s="10">
        <f>SUMIFS(Meals!$J$5:$J$113,Meals!$A$5:$A$113,$A19,Meals!$M$5:$M$113,"logged")</f>
        <v/>
      </c>
      <c r="I19" s="10">
        <f>SUMIFS(Meals!$K$5:$K$113,Meals!$A$5:$A$113,$A19,Meals!$M$5:$M$113,"logged")</f>
        <v/>
      </c>
      <c r="J19" s="10">
        <f>AVERAGE(H19:I19)</f>
        <v/>
      </c>
      <c r="K19" s="18">
        <f>COUNTIFS(Meals!$A$5:$A$113,$A19,Meals!$M$5:$M$113,"logged")</f>
        <v/>
      </c>
      <c r="L19" s="18">
        <f>COUNTIFS(Meals!$A$5:$A$113,$A19,Meals!$M$5:$M$113,"pending")</f>
        <v/>
      </c>
      <c r="M19" s="19">
        <f>D19-Targets!$B$16</f>
        <v/>
      </c>
    </row>
    <row r="20">
      <c r="A20" s="20" t="n">
        <v>46284</v>
      </c>
      <c r="B20" s="21">
        <f>SUMIFS(Meals!$D$5:$D$113,Meals!$A$5:$A$113,$A20,Meals!$M$5:$M$113,"logged")</f>
        <v/>
      </c>
      <c r="C20" s="21">
        <f>SUMIFS(Meals!$E$5:$E$113,Meals!$A$5:$A$113,$A20,Meals!$M$5:$M$113,"logged")</f>
        <v/>
      </c>
      <c r="D20" s="21">
        <f>AVERAGE(B20:C20)</f>
        <v/>
      </c>
      <c r="E20" s="22">
        <f>SUMIFS(Meals!$G$5:$G$113,Meals!$A$5:$A$113,$A20,Meals!$M$5:$M$113,"logged")</f>
        <v/>
      </c>
      <c r="F20" s="22">
        <f>SUMIFS(Meals!$H$5:$H$113,Meals!$A$5:$A$113,$A20,Meals!$M$5:$M$113,"logged")</f>
        <v/>
      </c>
      <c r="G20" s="22">
        <f>AVERAGE(E20:F20)</f>
        <v/>
      </c>
      <c r="H20" s="22">
        <f>SUMIFS(Meals!$J$5:$J$113,Meals!$A$5:$A$113,$A20,Meals!$M$5:$M$113,"logged")</f>
        <v/>
      </c>
      <c r="I20" s="22">
        <f>SUMIFS(Meals!$K$5:$K$113,Meals!$A$5:$A$113,$A20,Meals!$M$5:$M$113,"logged")</f>
        <v/>
      </c>
      <c r="J20" s="22">
        <f>AVERAGE(H20:I20)</f>
        <v/>
      </c>
      <c r="K20" s="20">
        <f>COUNTIFS(Meals!$A$5:$A$113,$A20,Meals!$M$5:$M$113,"logged")</f>
        <v/>
      </c>
      <c r="L20" s="20">
        <f>COUNTIFS(Meals!$A$5:$A$113,$A20,Meals!$M$5:$M$113,"pending")</f>
        <v/>
      </c>
      <c r="M20" s="23">
        <f>D20-Targets!$B$16</f>
        <v/>
      </c>
    </row>
    <row r="21">
      <c r="A21" s="18" t="n">
        <v>46285</v>
      </c>
      <c r="B21" s="8">
        <f>SUMIFS(Meals!$D$5:$D$113,Meals!$A$5:$A$113,$A21,Meals!$M$5:$M$113,"logged")</f>
        <v/>
      </c>
      <c r="C21" s="8">
        <f>SUMIFS(Meals!$E$5:$E$113,Meals!$A$5:$A$113,$A21,Meals!$M$5:$M$113,"logged")</f>
        <v/>
      </c>
      <c r="D21" s="8">
        <f>AVERAGE(B21:C21)</f>
        <v/>
      </c>
      <c r="E21" s="10">
        <f>SUMIFS(Meals!$G$5:$G$113,Meals!$A$5:$A$113,$A21,Meals!$M$5:$M$113,"logged")</f>
        <v/>
      </c>
      <c r="F21" s="10">
        <f>SUMIFS(Meals!$H$5:$H$113,Meals!$A$5:$A$113,$A21,Meals!$M$5:$M$113,"logged")</f>
        <v/>
      </c>
      <c r="G21" s="10">
        <f>AVERAGE(E21:F21)</f>
        <v/>
      </c>
      <c r="H21" s="10">
        <f>SUMIFS(Meals!$J$5:$J$113,Meals!$A$5:$A$113,$A21,Meals!$M$5:$M$113,"logged")</f>
        <v/>
      </c>
      <c r="I21" s="10">
        <f>SUMIFS(Meals!$K$5:$K$113,Meals!$A$5:$A$113,$A21,Meals!$M$5:$M$113,"logged")</f>
        <v/>
      </c>
      <c r="J21" s="10">
        <f>AVERAGE(H21:I21)</f>
        <v/>
      </c>
      <c r="K21" s="18">
        <f>COUNTIFS(Meals!$A$5:$A$113,$A21,Meals!$M$5:$M$113,"logged")</f>
        <v/>
      </c>
      <c r="L21" s="18">
        <f>COUNTIFS(Meals!$A$5:$A$113,$A21,Meals!$M$5:$M$113,"pending")</f>
        <v/>
      </c>
      <c r="M21" s="19">
        <f>D21-Targets!$B$16</f>
        <v/>
      </c>
    </row>
    <row r="22">
      <c r="A22" s="20" t="n">
        <v>46286</v>
      </c>
      <c r="B22" s="21">
        <f>SUMIFS(Meals!$D$5:$D$113,Meals!$A$5:$A$113,$A22,Meals!$M$5:$M$113,"logged")</f>
        <v/>
      </c>
      <c r="C22" s="21">
        <f>SUMIFS(Meals!$E$5:$E$113,Meals!$A$5:$A$113,$A22,Meals!$M$5:$M$113,"logged")</f>
        <v/>
      </c>
      <c r="D22" s="21">
        <f>AVERAGE(B22:C22)</f>
        <v/>
      </c>
      <c r="E22" s="22">
        <f>SUMIFS(Meals!$G$5:$G$113,Meals!$A$5:$A$113,$A22,Meals!$M$5:$M$113,"logged")</f>
        <v/>
      </c>
      <c r="F22" s="22">
        <f>SUMIFS(Meals!$H$5:$H$113,Meals!$A$5:$A$113,$A22,Meals!$M$5:$M$113,"logged")</f>
        <v/>
      </c>
      <c r="G22" s="22">
        <f>AVERAGE(E22:F22)</f>
        <v/>
      </c>
      <c r="H22" s="22">
        <f>SUMIFS(Meals!$J$5:$J$113,Meals!$A$5:$A$113,$A22,Meals!$M$5:$M$113,"logged")</f>
        <v/>
      </c>
      <c r="I22" s="22">
        <f>SUMIFS(Meals!$K$5:$K$113,Meals!$A$5:$A$113,$A22,Meals!$M$5:$M$113,"logged")</f>
        <v/>
      </c>
      <c r="J22" s="22">
        <f>AVERAGE(H22:I22)</f>
        <v/>
      </c>
      <c r="K22" s="20">
        <f>COUNTIFS(Meals!$A$5:$A$113,$A22,Meals!$M$5:$M$113,"logged")</f>
        <v/>
      </c>
      <c r="L22" s="20">
        <f>COUNTIFS(Meals!$A$5:$A$113,$A22,Meals!$M$5:$M$113,"pending")</f>
        <v/>
      </c>
      <c r="M22" s="23">
        <f>D22-Targets!$B$16</f>
        <v/>
      </c>
    </row>
    <row r="23">
      <c r="A23" s="18" t="n">
        <v>46287</v>
      </c>
      <c r="B23" s="8">
        <f>SUMIFS(Meals!$D$5:$D$113,Meals!$A$5:$A$113,$A23,Meals!$M$5:$M$113,"logged")</f>
        <v/>
      </c>
      <c r="C23" s="8">
        <f>SUMIFS(Meals!$E$5:$E$113,Meals!$A$5:$A$113,$A23,Meals!$M$5:$M$113,"logged")</f>
        <v/>
      </c>
      <c r="D23" s="8">
        <f>AVERAGE(B23:C23)</f>
        <v/>
      </c>
      <c r="E23" s="10">
        <f>SUMIFS(Meals!$G$5:$G$113,Meals!$A$5:$A$113,$A23,Meals!$M$5:$M$113,"logged")</f>
        <v/>
      </c>
      <c r="F23" s="10">
        <f>SUMIFS(Meals!$H$5:$H$113,Meals!$A$5:$A$113,$A23,Meals!$M$5:$M$113,"logged")</f>
        <v/>
      </c>
      <c r="G23" s="10">
        <f>AVERAGE(E23:F23)</f>
        <v/>
      </c>
      <c r="H23" s="10">
        <f>SUMIFS(Meals!$J$5:$J$113,Meals!$A$5:$A$113,$A23,Meals!$M$5:$M$113,"logged")</f>
        <v/>
      </c>
      <c r="I23" s="10">
        <f>SUMIFS(Meals!$K$5:$K$113,Meals!$A$5:$A$113,$A23,Meals!$M$5:$M$113,"logged")</f>
        <v/>
      </c>
      <c r="J23" s="10">
        <f>AVERAGE(H23:I23)</f>
        <v/>
      </c>
      <c r="K23" s="18">
        <f>COUNTIFS(Meals!$A$5:$A$113,$A23,Meals!$M$5:$M$113,"logged")</f>
        <v/>
      </c>
      <c r="L23" s="18">
        <f>COUNTIFS(Meals!$A$5:$A$113,$A23,Meals!$M$5:$M$113,"pending")</f>
        <v/>
      </c>
      <c r="M23" s="19">
        <f>D23-Targets!$B$16</f>
        <v/>
      </c>
    </row>
    <row r="24">
      <c r="A24" s="20" t="n">
        <v>46288</v>
      </c>
      <c r="B24" s="21">
        <f>SUMIFS(Meals!$D$5:$D$113,Meals!$A$5:$A$113,$A24,Meals!$M$5:$M$113,"logged")</f>
        <v/>
      </c>
      <c r="C24" s="21">
        <f>SUMIFS(Meals!$E$5:$E$113,Meals!$A$5:$A$113,$A24,Meals!$M$5:$M$113,"logged")</f>
        <v/>
      </c>
      <c r="D24" s="21">
        <f>AVERAGE(B24:C24)</f>
        <v/>
      </c>
      <c r="E24" s="22">
        <f>SUMIFS(Meals!$G$5:$G$113,Meals!$A$5:$A$113,$A24,Meals!$M$5:$M$113,"logged")</f>
        <v/>
      </c>
      <c r="F24" s="22">
        <f>SUMIFS(Meals!$H$5:$H$113,Meals!$A$5:$A$113,$A24,Meals!$M$5:$M$113,"logged")</f>
        <v/>
      </c>
      <c r="G24" s="22">
        <f>AVERAGE(E24:F24)</f>
        <v/>
      </c>
      <c r="H24" s="22">
        <f>SUMIFS(Meals!$J$5:$J$113,Meals!$A$5:$A$113,$A24,Meals!$M$5:$M$113,"logged")</f>
        <v/>
      </c>
      <c r="I24" s="22">
        <f>SUMIFS(Meals!$K$5:$K$113,Meals!$A$5:$A$113,$A24,Meals!$M$5:$M$113,"logged")</f>
        <v/>
      </c>
      <c r="J24" s="22">
        <f>AVERAGE(H24:I24)</f>
        <v/>
      </c>
      <c r="K24" s="20">
        <f>COUNTIFS(Meals!$A$5:$A$113,$A24,Meals!$M$5:$M$113,"logged")</f>
        <v/>
      </c>
      <c r="L24" s="20">
        <f>COUNTIFS(Meals!$A$5:$A$113,$A24,Meals!$M$5:$M$113,"pending")</f>
        <v/>
      </c>
      <c r="M24" s="23">
        <f>D24-Targets!$B$16</f>
        <v/>
      </c>
    </row>
    <row r="25">
      <c r="A25" s="18" t="n">
        <v>46289</v>
      </c>
      <c r="B25" s="8">
        <f>SUMIFS(Meals!$D$5:$D$113,Meals!$A$5:$A$113,$A25,Meals!$M$5:$M$113,"logged")</f>
        <v/>
      </c>
      <c r="C25" s="8">
        <f>SUMIFS(Meals!$E$5:$E$113,Meals!$A$5:$A$113,$A25,Meals!$M$5:$M$113,"logged")</f>
        <v/>
      </c>
      <c r="D25" s="8">
        <f>AVERAGE(B25:C25)</f>
        <v/>
      </c>
      <c r="E25" s="10">
        <f>SUMIFS(Meals!$G$5:$G$113,Meals!$A$5:$A$113,$A25,Meals!$M$5:$M$113,"logged")</f>
        <v/>
      </c>
      <c r="F25" s="10">
        <f>SUMIFS(Meals!$H$5:$H$113,Meals!$A$5:$A$113,$A25,Meals!$M$5:$M$113,"logged")</f>
        <v/>
      </c>
      <c r="G25" s="10">
        <f>AVERAGE(E25:F25)</f>
        <v/>
      </c>
      <c r="H25" s="10">
        <f>SUMIFS(Meals!$J$5:$J$113,Meals!$A$5:$A$113,$A25,Meals!$M$5:$M$113,"logged")</f>
        <v/>
      </c>
      <c r="I25" s="10">
        <f>SUMIFS(Meals!$K$5:$K$113,Meals!$A$5:$A$113,$A25,Meals!$M$5:$M$113,"logged")</f>
        <v/>
      </c>
      <c r="J25" s="10">
        <f>AVERAGE(H25:I25)</f>
        <v/>
      </c>
      <c r="K25" s="18">
        <f>COUNTIFS(Meals!$A$5:$A$113,$A25,Meals!$M$5:$M$113,"logged")</f>
        <v/>
      </c>
      <c r="L25" s="18">
        <f>COUNTIFS(Meals!$A$5:$A$113,$A25,Meals!$M$5:$M$113,"pending")</f>
        <v/>
      </c>
      <c r="M25" s="19">
        <f>D25-Targets!$B$16</f>
        <v/>
      </c>
    </row>
    <row r="26">
      <c r="A26" s="20" t="n">
        <v>46290</v>
      </c>
      <c r="B26" s="21">
        <f>SUMIFS(Meals!$D$5:$D$113,Meals!$A$5:$A$113,$A26,Meals!$M$5:$M$113,"logged")</f>
        <v/>
      </c>
      <c r="C26" s="21">
        <f>SUMIFS(Meals!$E$5:$E$113,Meals!$A$5:$A$113,$A26,Meals!$M$5:$M$113,"logged")</f>
        <v/>
      </c>
      <c r="D26" s="21">
        <f>AVERAGE(B26:C26)</f>
        <v/>
      </c>
      <c r="E26" s="22">
        <f>SUMIFS(Meals!$G$5:$G$113,Meals!$A$5:$A$113,$A26,Meals!$M$5:$M$113,"logged")</f>
        <v/>
      </c>
      <c r="F26" s="22">
        <f>SUMIFS(Meals!$H$5:$H$113,Meals!$A$5:$A$113,$A26,Meals!$M$5:$M$113,"logged")</f>
        <v/>
      </c>
      <c r="G26" s="22">
        <f>AVERAGE(E26:F26)</f>
        <v/>
      </c>
      <c r="H26" s="22">
        <f>SUMIFS(Meals!$J$5:$J$113,Meals!$A$5:$A$113,$A26,Meals!$M$5:$M$113,"logged")</f>
        <v/>
      </c>
      <c r="I26" s="22">
        <f>SUMIFS(Meals!$K$5:$K$113,Meals!$A$5:$A$113,$A26,Meals!$M$5:$M$113,"logged")</f>
        <v/>
      </c>
      <c r="J26" s="22">
        <f>AVERAGE(H26:I26)</f>
        <v/>
      </c>
      <c r="K26" s="20">
        <f>COUNTIFS(Meals!$A$5:$A$113,$A26,Meals!$M$5:$M$113,"logged")</f>
        <v/>
      </c>
      <c r="L26" s="20">
        <f>COUNTIFS(Meals!$A$5:$A$113,$A26,Meals!$M$5:$M$113,"pending")</f>
        <v/>
      </c>
      <c r="M26" s="23">
        <f>D26-Targets!$B$16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3">
      <c r="A13" s="4" t="n">
        <v>46287</v>
      </c>
      <c r="B13" s="24" t="n">
        <v>89.5</v>
      </c>
      <c r="C13" s="25">
        <f>B13-B12</f>
        <v/>
      </c>
      <c r="D13" s="25">
        <f>B13-$B$5</f>
        <v/>
      </c>
      <c r="E13" s="26">
        <f>AVERAGE(B7:B13)</f>
        <v/>
      </c>
      <c r="F13" s="6" t="inlineStr">
        <is>
          <t>Morning weigh-in</t>
        </is>
      </c>
    </row>
    <row r="14">
      <c r="A14" s="4" t="n">
        <v>46288</v>
      </c>
      <c r="B14" s="24" t="n">
        <v>89.59999999999999</v>
      </c>
      <c r="C14" s="25">
        <f>B14-B13</f>
        <v/>
      </c>
      <c r="D14" s="25">
        <f>B14-$B$5</f>
        <v/>
      </c>
      <c r="E14" s="26">
        <f>AVERAGE(B8:B14)</f>
        <v/>
      </c>
      <c r="F14" s="6" t="inlineStr">
        <is>
          <t>Morning weigh-in</t>
        </is>
      </c>
    </row>
    <row r="15">
      <c r="A15" s="4" t="n">
        <v>46289</v>
      </c>
      <c r="B15" s="24" t="n">
        <v>89.15000000000001</v>
      </c>
      <c r="C15" s="25">
        <f>B15-B14</f>
        <v/>
      </c>
      <c r="D15" s="25">
        <f>B15-$B$5</f>
        <v/>
      </c>
      <c r="E15" s="26">
        <f>AVERAGE(B9:B15)</f>
        <v/>
      </c>
      <c r="F15" s="6" t="inlineStr">
        <is>
          <t>Morning weigh-in - largest single-day drop in the log</t>
        </is>
      </c>
    </row>
    <row r="16">
      <c r="A16" s="4" t="n">
        <v>46290</v>
      </c>
      <c r="B16" s="24" t="n">
        <v>88.75</v>
      </c>
      <c r="C16" s="25">
        <f>B16-B15</f>
        <v/>
      </c>
      <c r="D16" s="25">
        <f>B16-$B$5</f>
        <v/>
      </c>
      <c r="E16" s="26">
        <f>AVERAGE(B10:B16)</f>
        <v/>
      </c>
      <c r="F16" s="6" t="inlineStr">
        <is>
          <t>Morning weigh-in - second consecutive drop; second sub-89.3 reading</t>
        </is>
      </c>
    </row>
    <row r="18">
      <c r="A18"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6"/>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COUNT(Daily!$A$5:$A$26)</f>
        <v/>
      </c>
    </row>
    <row r="6">
      <c r="A6" s="29" t="inlineStr">
        <is>
          <t>Avg calories/day (mid)</t>
        </is>
      </c>
      <c r="B6" s="8">
        <f>IFERROR(AVERAGE(Daily!$D$5:$D$26),0)</f>
        <v/>
      </c>
    </row>
    <row r="7">
      <c r="A7" s="29" t="inlineStr">
        <is>
          <t>Avg protein/day (mid, g)</t>
        </is>
      </c>
      <c r="B7" s="10">
        <f>IFERROR(AVERAGE(Daily!$G$5:$G$26),0)</f>
        <v/>
      </c>
    </row>
    <row r="8">
      <c r="A8" s="29" t="inlineStr">
        <is>
          <t>Avg fat/day (mid, g)</t>
        </is>
      </c>
      <c r="B8" s="10">
        <f>IFERROR(AVERAGE(Daily!$J$5:$J$26),0)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COUNTIFS(Daily!$G$5:$G$26,"&gt;="&amp;Targets!$B$20)</f>
        <v/>
      </c>
    </row>
    <row r="13">
      <c r="A13" s="29" t="inlineStr">
        <is>
          <t>Total pending (unconfirmed) items</t>
        </is>
      </c>
      <c r="B13" s="18">
        <f>SUM(Daily!$L$5:$L$26)</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COUNTIFS(Daily!$A$5:$A$26,"&gt;="&amp;$A17,Daily!$A$5:$A$26,"&lt;="&amp;$B17)</f>
        <v/>
      </c>
      <c r="D17" s="8">
        <f>IFERROR(AVERAGEIFS(Daily!$D$5:$D$26,Daily!$A$5:$A$26,"&gt;="&amp;$A17,Daily!$A$5:$A$26,"&lt;="&amp;$B17),0)</f>
        <v/>
      </c>
      <c r="E17" s="10">
        <f>IFERROR(AVERAGEIFS(Daily!$G$5:$G$26,Daily!$A$5:$A$26,"&gt;="&amp;$A17,Daily!$A$5:$A$26,"&lt;="&amp;$B17),0)</f>
        <v/>
      </c>
      <c r="F17" s="10">
        <f>IFERROR(AVERAGEIFS(Daily!$J$5:$J$26,Daily!$A$5:$A$26,"&gt;="&amp;$A17,Daily!$A$5:$A$26,"&lt;="&amp;$B17),0)</f>
        <v/>
      </c>
    </row>
    <row r="18">
      <c r="A18" s="4" t="n">
        <v>46272</v>
      </c>
      <c r="B18" s="4" t="n">
        <v>46278</v>
      </c>
      <c r="C18" s="18">
        <f>COUNTIFS(Daily!$A$5:$A$26,"&gt;="&amp;$A18,Daily!$A$5:$A$26,"&lt;="&amp;$B18)</f>
        <v/>
      </c>
      <c r="D18" s="8">
        <f>IFERROR(AVERAGEIFS(Daily!$D$5:$D$26,Daily!$A$5:$A$26,"&gt;="&amp;$A18,Daily!$A$5:$A$26,"&lt;="&amp;$B18),0)</f>
        <v/>
      </c>
      <c r="E18" s="10">
        <f>IFERROR(AVERAGEIFS(Daily!$G$5:$G$26,Daily!$A$5:$A$26,"&gt;="&amp;$A18,Daily!$A$5:$A$26,"&lt;="&amp;$B18),0)</f>
        <v/>
      </c>
      <c r="F18" s="10">
        <f>IFERROR(AVERAGEIFS(Daily!$J$5:$J$26,Daily!$A$5:$A$26,"&gt;="&amp;$A18,Daily!$A$5:$A$26,"&lt;="&amp;$B18),0)</f>
        <v/>
      </c>
    </row>
    <row r="19">
      <c r="A19" s="4" t="n">
        <v>46279</v>
      </c>
      <c r="B19" s="4" t="n">
        <v>46285</v>
      </c>
      <c r="C19" s="18">
        <f>COUNTIFS(Daily!$A$5:$A$26,"&gt;="&amp;$A19,Daily!$A$5:$A$26,"&lt;="&amp;$B19)</f>
        <v/>
      </c>
      <c r="D19" s="8">
        <f>IFERROR(AVERAGEIFS(Daily!$D$5:$D$26,Daily!$A$5:$A$26,"&gt;="&amp;$A19,Daily!$A$5:$A$26,"&lt;="&amp;$B19),0)</f>
        <v/>
      </c>
      <c r="E19" s="10">
        <f>IFERROR(AVERAGEIFS(Daily!$G$5:$G$26,Daily!$A$5:$A$26,"&gt;="&amp;$A19,Daily!$A$5:$A$26,"&lt;="&amp;$B19),0)</f>
        <v/>
      </c>
      <c r="F19" s="10">
        <f>IFERROR(AVERAGEIFS(Daily!$J$5:$J$26,Daily!$A$5:$A$26,"&gt;="&amp;$A19,Daily!$A$5:$A$26,"&lt;="&amp;$B19),0)</f>
        <v/>
      </c>
    </row>
    <row r="20">
      <c r="A20" s="4" t="n">
        <v>46286</v>
      </c>
      <c r="B20" s="4" t="n">
        <v>46292</v>
      </c>
      <c r="C20" s="18">
        <f>COUNTIFS(Daily!$A$5:$A$26,"&gt;="&amp;$A20,Daily!$A$5:$A$26,"&lt;="&amp;$B20)</f>
        <v/>
      </c>
      <c r="D20" s="8">
        <f>IFERROR(AVERAGEIFS(Daily!$D$5:$D$26,Daily!$A$5:$A$26,"&gt;="&amp;$A20,Daily!$A$5:$A$26,"&lt;="&amp;$B20),0)</f>
        <v/>
      </c>
      <c r="E20" s="10">
        <f>IFERROR(AVERAGEIFS(Daily!$G$5:$G$26,Daily!$A$5:$A$26,"&gt;="&amp;$A20,Daily!$A$5:$A$26,"&lt;="&amp;$B20),0)</f>
        <v/>
      </c>
      <c r="F20" s="10">
        <f>IFERROR(AVERAGEIFS(Daily!$J$5:$J$26,Daily!$A$5:$A$26,"&gt;="&amp;$A20,Daily!$A$5:$A$26,"&lt;="&amp;$B20),0)</f>
        <v/>
      </c>
    </row>
    <row r="22">
      <c r="A22" s="28" t="inlineStr">
        <is>
          <t>Monthly</t>
        </is>
      </c>
    </row>
    <row r="23">
      <c r="A23" s="3" t="inlineStr">
        <is>
          <t>Month start</t>
        </is>
      </c>
      <c r="B23" s="3" t="inlineStr">
        <is>
          <t>Month end</t>
        </is>
      </c>
      <c r="C23" s="3" t="inlineStr">
        <is>
          <t>Days logged</t>
        </is>
      </c>
      <c r="D23" s="3" t="inlineStr">
        <is>
          <t>Avg cal/day (mid)</t>
        </is>
      </c>
      <c r="E23" s="3" t="inlineStr">
        <is>
          <t>Avg protein/day (mid, g)</t>
        </is>
      </c>
      <c r="F23" s="3" t="inlineStr">
        <is>
          <t>Avg fat/day (mid, g)</t>
        </is>
      </c>
    </row>
    <row r="24">
      <c r="A24" s="4" t="n">
        <v>46266</v>
      </c>
      <c r="B24" s="4" t="n">
        <v>46295</v>
      </c>
      <c r="C24" s="18">
        <f>COUNTIFS(Daily!$A$5:$A$26,"&gt;="&amp;$A24,Daily!$A$5:$A$26,"&lt;="&amp;$B24)</f>
        <v/>
      </c>
      <c r="D24" s="8">
        <f>IFERROR(AVERAGEIFS(Daily!$D$5:$D$26,Daily!$A$5:$A$26,"&gt;="&amp;$A24,Daily!$A$5:$A$26,"&lt;="&amp;$B24),0)</f>
        <v/>
      </c>
      <c r="E24" s="10">
        <f>IFERROR(AVERAGEIFS(Daily!$G$5:$G$26,Daily!$A$5:$A$26,"&gt;="&amp;$A24,Daily!$A$5:$A$26,"&lt;="&amp;$B24),0)</f>
        <v/>
      </c>
      <c r="F24" s="10">
        <f>IFERROR(AVERAGEIFS(Daily!$J$5:$J$26,Daily!$A$5:$A$26,"&gt;="&amp;$A24,Daily!$A$5:$A$26,"&lt;="&amp;$B24),0)</f>
        <v/>
      </c>
    </row>
    <row r="26">
      <c r="A26"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5"/>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row r="60">
      <c r="A60" s="6" t="inlineStr">
        <is>
          <t>Stuffed squid - koonthal nirachathu (1 small)</t>
        </is>
      </c>
      <c r="B60" s="7" t="n">
        <v>130</v>
      </c>
      <c r="C60" s="7" t="n">
        <v>200</v>
      </c>
      <c r="D60" s="8">
        <f>AVERAGE(B60:C60)</f>
        <v/>
      </c>
      <c r="E60" s="5" t="inlineStr">
        <is>
          <t>~10-14 g</t>
        </is>
      </c>
      <c r="F60" s="6" t="inlineStr">
        <is>
          <t>7.3 g protein per 100 kcal. Squid itself is very lean; nearly all the fat is frying oil</t>
        </is>
      </c>
    </row>
    <row r="61">
      <c r="A61" s="6" t="inlineStr">
        <is>
          <t>Low-calorie gelato (1 serving ~125 ml)</t>
        </is>
      </c>
      <c r="B61" s="7" t="n">
        <v>80</v>
      </c>
      <c r="C61" s="7" t="n">
        <v>95</v>
      </c>
      <c r="D61" s="8">
        <f>AVERAGE(B61:C61)</f>
        <v/>
      </c>
      <c r="E61" s="5" t="inlineStr">
        <is>
          <t>~1-3 g</t>
        </is>
      </c>
      <c r="F61" s="6" t="inlineStr">
        <is>
          <t>86 kcal per serving - a 500 ml tub is ~4 servings, so ~344 kcal</t>
        </is>
      </c>
    </row>
    <row r="62">
      <c r="A62" s="6" t="inlineStr">
        <is>
          <t>Low-calorie gelato (whole 500 ml tub)</t>
        </is>
      </c>
      <c r="B62" s="7" t="n">
        <v>330</v>
      </c>
      <c r="C62" s="7" t="n">
        <v>360</v>
      </c>
      <c r="D62" s="8">
        <f>AVERAGE(B62:C62)</f>
        <v/>
      </c>
      <c r="E62" s="5" t="inlineStr">
        <is>
          <t>~5-10 g</t>
        </is>
      </c>
      <c r="F62" s="6" t="inlineStr">
        <is>
          <t>Sweetened with oligofructose; a whole tub is 20-30 g of added fibre and commonly causes bloating</t>
        </is>
      </c>
    </row>
    <row r="63">
      <c r="A63" s="6" t="inlineStr">
        <is>
          <t>Pazham pori (banana fritter)</t>
        </is>
      </c>
      <c r="B63" s="7" t="n">
        <v>150</v>
      </c>
      <c r="C63" s="7" t="n">
        <v>220</v>
      </c>
      <c r="D63" s="8">
        <f>AVERAGE(B63:C63)</f>
        <v/>
      </c>
      <c r="E63" s="5" t="inlineStr">
        <is>
          <t>~2-3 g</t>
        </is>
      </c>
      <c r="F63" s="6" t="inlineStr">
        <is>
          <t>Ripe banana in sweetened batter, deep fried. 1.4 g protein per 100 kcal - the lowest density logged</t>
        </is>
      </c>
    </row>
    <row r="64">
      <c r="A64" s="6" t="inlineStr">
        <is>
          <t>Beef curry (2 small pieces)</t>
        </is>
      </c>
      <c r="B64" s="7" t="n">
        <v>70</v>
      </c>
      <c r="C64" s="7" t="n">
        <v>110</v>
      </c>
      <c r="D64" s="8">
        <f>AVERAGE(B64:C64)</f>
        <v/>
      </c>
      <c r="E64" s="5" t="inlineStr">
        <is>
          <t>~8-12 g</t>
        </is>
      </c>
      <c r="F64" s="6" t="inlineStr">
        <is>
          <t>Meat only, gravy not counted. ~11 g protein per 100 kcal</t>
        </is>
      </c>
    </row>
    <row r="65">
      <c r="A65" s="6" t="inlineStr">
        <is>
          <t>Walnuts (30 g - a small fist)</t>
        </is>
      </c>
      <c r="B65" s="7" t="n">
        <v>165</v>
      </c>
      <c r="C65" s="7" t="n">
        <v>230</v>
      </c>
      <c r="D65" s="8">
        <f>AVERAGE(B65:C65)</f>
        <v/>
      </c>
      <c r="E65" s="5" t="inlineStr">
        <is>
          <t>~4-5.5 g</t>
        </is>
      </c>
      <c r="F65" s="6" t="inlineStr">
        <is>
          <t>~13 halves. 654 kcal per 100 g - the most calorie-dense food logged. Brings ALA omega-3 and 2 g fibre</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2026-09-25T16:38:39Z</dcterms:created>
  <dcterms:modified xsi:type="dcterms:W3CDTF">2026-09-25T16:38:39Z</dcterms:modified>
</cp:coreProperties>
</file>