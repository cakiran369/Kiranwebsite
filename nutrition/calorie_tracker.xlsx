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Snack</t>
        </is>
      </c>
      <c r="C23" s="6" t="inlineStr">
        <is>
          <t>Black coffee + 1 whey scoop</t>
        </is>
      </c>
      <c r="D23" s="7" t="n">
        <v>100</v>
      </c>
      <c r="E23" s="7" t="n">
        <v>130</v>
      </c>
      <c r="F23" s="8">
        <f>AVERAGE(D23:E23)</f>
        <v/>
      </c>
      <c r="G23" s="9" t="n">
        <v>20</v>
      </c>
      <c r="H23" s="9" t="n">
        <v>25</v>
      </c>
      <c r="I23" s="10">
        <f>AVERAGE(G23:H23)</f>
        <v/>
      </c>
      <c r="J23" s="9" t="n">
        <v>1</v>
      </c>
      <c r="K23" s="9" t="n">
        <v>3</v>
      </c>
      <c r="L23" s="10">
        <f>AVERAGE(J23:K23)</f>
        <v/>
      </c>
      <c r="M23" s="5" t="inlineStr">
        <is>
          <t>logged</t>
        </is>
      </c>
      <c r="N23" s="6" t="inlineStr"/>
    </row>
    <row r="24">
      <c r="A24" s="4" t="n">
        <v>46272</v>
      </c>
      <c r="B24" s="5" t="inlineStr">
        <is>
          <t>Snack</t>
        </is>
      </c>
      <c r="C24" s="6" t="inlineStr">
        <is>
          <t>Sweet melon (1 wedge)</t>
        </is>
      </c>
      <c r="D24" s="7" t="n">
        <v>35</v>
      </c>
      <c r="E24" s="7" t="n">
        <v>55</v>
      </c>
      <c r="F24" s="8">
        <f>AVERAGE(D24:E24)</f>
        <v/>
      </c>
      <c r="G24" s="9" t="n">
        <v>0.5</v>
      </c>
      <c r="H24" s="9" t="n">
        <v>1</v>
      </c>
      <c r="I24" s="10">
        <f>AVERAGE(G24:H24)</f>
        <v/>
      </c>
      <c r="J24" s="9" t="n">
        <v>0</v>
      </c>
      <c r="K24" s="9" t="n">
        <v>0.5</v>
      </c>
      <c r="L24" s="10">
        <f>AVERAGE(J24:K24)</f>
        <v/>
      </c>
      <c r="M24" s="5" t="inlineStr">
        <is>
          <t>logged</t>
        </is>
      </c>
      <c r="N24" s="6" t="inlineStr">
        <is>
          <t>Whole fruit - fibre intact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SUMIFS(Meals!$D$5:$D$24,Meals!$A$5:$A$24,$A5,Meals!$M$5:$M$24,"logged")</f>
        <v/>
      </c>
      <c r="C5" s="8">
        <f>SUMIFS(Meals!$E$5:$E$24,Meals!$A$5:$A$24,$A5,Meals!$M$5:$M$24,"logged")</f>
        <v/>
      </c>
      <c r="D5" s="8">
        <f>AVERAGE(B5:C5)</f>
        <v/>
      </c>
      <c r="E5" s="10">
        <f>SUMIFS(Meals!$G$5:$G$24,Meals!$A$5:$A$24,$A5,Meals!$M$5:$M$24,"logged")</f>
        <v/>
      </c>
      <c r="F5" s="10">
        <f>SUMIFS(Meals!$H$5:$H$24,Meals!$A$5:$A$24,$A5,Meals!$M$5:$M$24,"logged")</f>
        <v/>
      </c>
      <c r="G5" s="10">
        <f>AVERAGE(E5:F5)</f>
        <v/>
      </c>
      <c r="H5" s="10">
        <f>SUMIFS(Meals!$J$5:$J$24,Meals!$A$5:$A$24,$A5,Meals!$M$5:$M$24,"logged")</f>
        <v/>
      </c>
      <c r="I5" s="10">
        <f>SUMIFS(Meals!$K$5:$K$24,Meals!$A$5:$A$24,$A5,Meals!$M$5:$M$24,"logged")</f>
        <v/>
      </c>
      <c r="J5" s="10">
        <f>AVERAGE(H5:I5)</f>
        <v/>
      </c>
      <c r="K5" s="18">
        <f>COUNTIFS(Meals!$A$5:$A$24,$A5,Meals!$M$5:$M$24,"logged")</f>
        <v/>
      </c>
      <c r="L5" s="18">
        <f>COUNTIFS(Meals!$A$5:$A$24,$A5,Meals!$M$5:$M$24,"pending")</f>
        <v/>
      </c>
      <c r="M5" s="19">
        <f>D5-Targets!$B$16</f>
        <v/>
      </c>
    </row>
    <row r="6">
      <c r="A6" s="20" t="n">
        <v>46270</v>
      </c>
      <c r="B6" s="21">
        <f>SUMIFS(Meals!$D$5:$D$24,Meals!$A$5:$A$24,$A6,Meals!$M$5:$M$24,"logged")</f>
        <v/>
      </c>
      <c r="C6" s="21">
        <f>SUMIFS(Meals!$E$5:$E$24,Meals!$A$5:$A$24,$A6,Meals!$M$5:$M$24,"logged")</f>
        <v/>
      </c>
      <c r="D6" s="21">
        <f>AVERAGE(B6:C6)</f>
        <v/>
      </c>
      <c r="E6" s="22">
        <f>SUMIFS(Meals!$G$5:$G$24,Meals!$A$5:$A$24,$A6,Meals!$M$5:$M$24,"logged")</f>
        <v/>
      </c>
      <c r="F6" s="22">
        <f>SUMIFS(Meals!$H$5:$H$24,Meals!$A$5:$A$24,$A6,Meals!$M$5:$M$24,"logged")</f>
        <v/>
      </c>
      <c r="G6" s="22">
        <f>AVERAGE(E6:F6)</f>
        <v/>
      </c>
      <c r="H6" s="22">
        <f>SUMIFS(Meals!$J$5:$J$24,Meals!$A$5:$A$24,$A6,Meals!$M$5:$M$24,"logged")</f>
        <v/>
      </c>
      <c r="I6" s="22">
        <f>SUMIFS(Meals!$K$5:$K$24,Meals!$A$5:$A$24,$A6,Meals!$M$5:$M$24,"logged")</f>
        <v/>
      </c>
      <c r="J6" s="22">
        <f>AVERAGE(H6:I6)</f>
        <v/>
      </c>
      <c r="K6" s="20">
        <f>COUNTIFS(Meals!$A$5:$A$24,$A6,Meals!$M$5:$M$24,"logged")</f>
        <v/>
      </c>
      <c r="L6" s="20">
        <f>COUNTIFS(Meals!$A$5:$A$24,$A6,Meals!$M$5:$M$24,"pending")</f>
        <v/>
      </c>
      <c r="M6" s="23">
        <f>D6-Targets!$B$16</f>
        <v/>
      </c>
    </row>
    <row r="7">
      <c r="A7" s="18" t="n">
        <v>46271</v>
      </c>
      <c r="B7" s="8">
        <f>SUMIFS(Meals!$D$5:$D$24,Meals!$A$5:$A$24,$A7,Meals!$M$5:$M$24,"logged")</f>
        <v/>
      </c>
      <c r="C7" s="8">
        <f>SUMIFS(Meals!$E$5:$E$24,Meals!$A$5:$A$24,$A7,Meals!$M$5:$M$24,"logged")</f>
        <v/>
      </c>
      <c r="D7" s="8">
        <f>AVERAGE(B7:C7)</f>
        <v/>
      </c>
      <c r="E7" s="10">
        <f>SUMIFS(Meals!$G$5:$G$24,Meals!$A$5:$A$24,$A7,Meals!$M$5:$M$24,"logged")</f>
        <v/>
      </c>
      <c r="F7" s="10">
        <f>SUMIFS(Meals!$H$5:$H$24,Meals!$A$5:$A$24,$A7,Meals!$M$5:$M$24,"logged")</f>
        <v/>
      </c>
      <c r="G7" s="10">
        <f>AVERAGE(E7:F7)</f>
        <v/>
      </c>
      <c r="H7" s="10">
        <f>SUMIFS(Meals!$J$5:$J$24,Meals!$A$5:$A$24,$A7,Meals!$M$5:$M$24,"logged")</f>
        <v/>
      </c>
      <c r="I7" s="10">
        <f>SUMIFS(Meals!$K$5:$K$24,Meals!$A$5:$A$24,$A7,Meals!$M$5:$M$24,"logged")</f>
        <v/>
      </c>
      <c r="J7" s="10">
        <f>AVERAGE(H7:I7)</f>
        <v/>
      </c>
      <c r="K7" s="18">
        <f>COUNTIFS(Meals!$A$5:$A$24,$A7,Meals!$M$5:$M$24,"logged")</f>
        <v/>
      </c>
      <c r="L7" s="18">
        <f>COUNTIFS(Meals!$A$5:$A$24,$A7,Meals!$M$5:$M$24,"pending")</f>
        <v/>
      </c>
      <c r="M7" s="19">
        <f>D7-Targets!$B$16</f>
        <v/>
      </c>
    </row>
    <row r="8">
      <c r="A8" s="20" t="n">
        <v>46272</v>
      </c>
      <c r="B8" s="21">
        <f>SUMIFS(Meals!$D$5:$D$24,Meals!$A$5:$A$24,$A8,Meals!$M$5:$M$24,"logged")</f>
        <v/>
      </c>
      <c r="C8" s="21">
        <f>SUMIFS(Meals!$E$5:$E$24,Meals!$A$5:$A$24,$A8,Meals!$M$5:$M$24,"logged")</f>
        <v/>
      </c>
      <c r="D8" s="21">
        <f>AVERAGE(B8:C8)</f>
        <v/>
      </c>
      <c r="E8" s="22">
        <f>SUMIFS(Meals!$G$5:$G$24,Meals!$A$5:$A$24,$A8,Meals!$M$5:$M$24,"logged")</f>
        <v/>
      </c>
      <c r="F8" s="22">
        <f>SUMIFS(Meals!$H$5:$H$24,Meals!$A$5:$A$24,$A8,Meals!$M$5:$M$24,"logged")</f>
        <v/>
      </c>
      <c r="G8" s="22">
        <f>AVERAGE(E8:F8)</f>
        <v/>
      </c>
      <c r="H8" s="22">
        <f>SUMIFS(Meals!$J$5:$J$24,Meals!$A$5:$A$24,$A8,Meals!$M$5:$M$24,"logged")</f>
        <v/>
      </c>
      <c r="I8" s="22">
        <f>SUMIFS(Meals!$K$5:$K$24,Meals!$A$5:$A$24,$A8,Meals!$M$5:$M$24,"logged")</f>
        <v/>
      </c>
      <c r="J8" s="22">
        <f>AVERAGE(H8:I8)</f>
        <v/>
      </c>
      <c r="K8" s="20">
        <f>COUNTIFS(Meals!$A$5:$A$24,$A8,Meals!$M$5:$M$24,"logged")</f>
        <v/>
      </c>
      <c r="L8" s="20">
        <f>COUNTIFS(Meals!$A$5:$A$24,$A8,Meals!$M$5:$M$24,"pending")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1865</v>
      </c>
      <c r="F14" s="9" t="n">
        <v>59.5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2140</v>
      </c>
      <c r="F16" s="9" t="n">
        <v>75.5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1810</v>
      </c>
      <c r="F17" s="9" t="n">
        <v>38</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2080</v>
      </c>
      <c r="F19" s="9" t="n">
        <v>62</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Sweet melon / cantaloupe (1 wedge ~100-150 g)</t>
        </is>
      </c>
      <c r="B35" s="7" t="n">
        <v>35</v>
      </c>
      <c r="C35" s="7" t="n">
        <v>55</v>
      </c>
      <c r="D35" s="8">
        <f>AVERAGE(B35:C35)</f>
        <v/>
      </c>
      <c r="E35" s="5" t="inlineStr">
        <is>
          <t>~0.5-1 g</t>
        </is>
      </c>
      <c r="F35" s="6" t="inlineStr">
        <is>
          <t>Whole fruit - fibre and water intact; ~1/4 the calories of the same fruit juiced</t>
        </is>
      </c>
    </row>
    <row r="36">
      <c r="A36" s="6" t="inlineStr">
        <is>
          <t>Whey scoop (in black coffee no sugar)</t>
        </is>
      </c>
      <c r="B36" s="7" t="n">
        <v>100</v>
      </c>
      <c r="C36" s="7" t="n">
        <v>130</v>
      </c>
      <c r="D36" s="8">
        <f>AVERAGE(B36:C36)</f>
        <v/>
      </c>
      <c r="E36" s="5" t="inlineStr">
        <is>
          <t>~20-25 g</t>
        </is>
      </c>
      <c r="F36" s="6" t="inlineStr"/>
    </row>
    <row r="37">
      <c r="A37" s="6" t="inlineStr">
        <is>
          <t>Cashew/almond biscuit (1)</t>
        </is>
      </c>
      <c r="B37" s="7" t="n">
        <v>38</v>
      </c>
      <c r="C37" s="7" t="n">
        <v>38</v>
      </c>
      <c r="D37" s="8">
        <f>AVERAGE(B37:C37)</f>
        <v/>
      </c>
      <c r="E37" s="5" t="inlineStr">
        <is>
          <t>~0.5 g</t>
        </is>
      </c>
      <c r="F37" s="6" t="inlineStr"/>
    </row>
    <row r="38">
      <c r="A38" s="6" t="inlineStr">
        <is>
          <t>Chocolate bar (~50g standard)</t>
        </is>
      </c>
      <c r="B38" s="7" t="n">
        <v>245</v>
      </c>
      <c r="C38" s="7" t="n">
        <v>250</v>
      </c>
      <c r="D38" s="8">
        <f>AVERAGE(B38:C38)</f>
        <v/>
      </c>
      <c r="E38" s="5" t="inlineStr">
        <is>
          <t>~4 g</t>
        </is>
      </c>
      <c r="F38" s="6" t="inlineStr"/>
    </row>
    <row r="39">
      <c r="A39" s="6" t="inlineStr">
        <is>
          <t>Chocolate bar (70g king-size)</t>
        </is>
      </c>
      <c r="B39" s="7" t="n">
        <v>335</v>
      </c>
      <c r="C39" s="7" t="n">
        <v>335</v>
      </c>
      <c r="D39" s="8">
        <f>AVERAGE(B39:C39)</f>
        <v/>
      </c>
      <c r="E39" s="5" t="inlineStr">
        <is>
          <t>~6 g</t>
        </is>
      </c>
      <c r="F39" s="6" t="inlineStr"/>
    </row>
    <row r="40">
      <c r="A40" s="6" t="inlineStr">
        <is>
          <t>Pre-workout scoop</t>
        </is>
      </c>
      <c r="B40" s="7" t="n">
        <v>5</v>
      </c>
      <c r="C40" s="7" t="n">
        <v>15</v>
      </c>
      <c r="D40" s="8">
        <f>AVERAGE(B40:C40)</f>
        <v/>
      </c>
      <c r="E40" s="5" t="inlineStr">
        <is>
          <t>0 g</t>
        </is>
      </c>
      <c r="F4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2026-09-07T07:33:35Z</dcterms:created>
  <dcterms:modified xsi:type="dcterms:W3CDTF">2026-09-07T07:33:35Z</dcterms:modified>
</cp:coreProperties>
</file>