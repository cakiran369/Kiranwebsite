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SUMIFS(Meals!$D$5:$D$35,Meals!$A$5:$A$35,$A5,Meals!$M$5:$M$35,"logged")</f>
        <v/>
      </c>
      <c r="C5" s="8">
        <f>SUMIFS(Meals!$E$5:$E$35,Meals!$A$5:$A$35,$A5,Meals!$M$5:$M$35,"logged")</f>
        <v/>
      </c>
      <c r="D5" s="8">
        <f>AVERAGE(B5:C5)</f>
        <v/>
      </c>
      <c r="E5" s="10">
        <f>SUMIFS(Meals!$G$5:$G$35,Meals!$A$5:$A$35,$A5,Meals!$M$5:$M$35,"logged")</f>
        <v/>
      </c>
      <c r="F5" s="10">
        <f>SUMIFS(Meals!$H$5:$H$35,Meals!$A$5:$A$35,$A5,Meals!$M$5:$M$35,"logged")</f>
        <v/>
      </c>
      <c r="G5" s="10">
        <f>AVERAGE(E5:F5)</f>
        <v/>
      </c>
      <c r="H5" s="10">
        <f>SUMIFS(Meals!$J$5:$J$35,Meals!$A$5:$A$35,$A5,Meals!$M$5:$M$35,"logged")</f>
        <v/>
      </c>
      <c r="I5" s="10">
        <f>SUMIFS(Meals!$K$5:$K$35,Meals!$A$5:$A$35,$A5,Meals!$M$5:$M$35,"logged")</f>
        <v/>
      </c>
      <c r="J5" s="10">
        <f>AVERAGE(H5:I5)</f>
        <v/>
      </c>
      <c r="K5" s="18">
        <f>COUNTIFS(Meals!$A$5:$A$35,$A5,Meals!$M$5:$M$35,"logged")</f>
        <v/>
      </c>
      <c r="L5" s="18">
        <f>COUNTIFS(Meals!$A$5:$A$35,$A5,Meals!$M$5:$M$35,"pending")</f>
        <v/>
      </c>
      <c r="M5" s="19">
        <f>D5-Targets!$B$16</f>
        <v/>
      </c>
    </row>
    <row r="6">
      <c r="A6" s="20" t="n">
        <v>46270</v>
      </c>
      <c r="B6" s="21">
        <f>SUMIFS(Meals!$D$5:$D$35,Meals!$A$5:$A$35,$A6,Meals!$M$5:$M$35,"logged")</f>
        <v/>
      </c>
      <c r="C6" s="21">
        <f>SUMIFS(Meals!$E$5:$E$35,Meals!$A$5:$A$35,$A6,Meals!$M$5:$M$35,"logged")</f>
        <v/>
      </c>
      <c r="D6" s="21">
        <f>AVERAGE(B6:C6)</f>
        <v/>
      </c>
      <c r="E6" s="22">
        <f>SUMIFS(Meals!$G$5:$G$35,Meals!$A$5:$A$35,$A6,Meals!$M$5:$M$35,"logged")</f>
        <v/>
      </c>
      <c r="F6" s="22">
        <f>SUMIFS(Meals!$H$5:$H$35,Meals!$A$5:$A$35,$A6,Meals!$M$5:$M$35,"logged")</f>
        <v/>
      </c>
      <c r="G6" s="22">
        <f>AVERAGE(E6:F6)</f>
        <v/>
      </c>
      <c r="H6" s="22">
        <f>SUMIFS(Meals!$J$5:$J$35,Meals!$A$5:$A$35,$A6,Meals!$M$5:$M$35,"logged")</f>
        <v/>
      </c>
      <c r="I6" s="22">
        <f>SUMIFS(Meals!$K$5:$K$35,Meals!$A$5:$A$35,$A6,Meals!$M$5:$M$35,"logged")</f>
        <v/>
      </c>
      <c r="J6" s="22">
        <f>AVERAGE(H6:I6)</f>
        <v/>
      </c>
      <c r="K6" s="20">
        <f>COUNTIFS(Meals!$A$5:$A$35,$A6,Meals!$M$5:$M$35,"logged")</f>
        <v/>
      </c>
      <c r="L6" s="20">
        <f>COUNTIFS(Meals!$A$5:$A$35,$A6,Meals!$M$5:$M$35,"pending")</f>
        <v/>
      </c>
      <c r="M6" s="23">
        <f>D6-Targets!$B$16</f>
        <v/>
      </c>
    </row>
    <row r="7">
      <c r="A7" s="18" t="n">
        <v>46271</v>
      </c>
      <c r="B7" s="8">
        <f>SUMIFS(Meals!$D$5:$D$35,Meals!$A$5:$A$35,$A7,Meals!$M$5:$M$35,"logged")</f>
        <v/>
      </c>
      <c r="C7" s="8">
        <f>SUMIFS(Meals!$E$5:$E$35,Meals!$A$5:$A$35,$A7,Meals!$M$5:$M$35,"logged")</f>
        <v/>
      </c>
      <c r="D7" s="8">
        <f>AVERAGE(B7:C7)</f>
        <v/>
      </c>
      <c r="E7" s="10">
        <f>SUMIFS(Meals!$G$5:$G$35,Meals!$A$5:$A$35,$A7,Meals!$M$5:$M$35,"logged")</f>
        <v/>
      </c>
      <c r="F7" s="10">
        <f>SUMIFS(Meals!$H$5:$H$35,Meals!$A$5:$A$35,$A7,Meals!$M$5:$M$35,"logged")</f>
        <v/>
      </c>
      <c r="G7" s="10">
        <f>AVERAGE(E7:F7)</f>
        <v/>
      </c>
      <c r="H7" s="10">
        <f>SUMIFS(Meals!$J$5:$J$35,Meals!$A$5:$A$35,$A7,Meals!$M$5:$M$35,"logged")</f>
        <v/>
      </c>
      <c r="I7" s="10">
        <f>SUMIFS(Meals!$K$5:$K$35,Meals!$A$5:$A$35,$A7,Meals!$M$5:$M$35,"logged")</f>
        <v/>
      </c>
      <c r="J7" s="10">
        <f>AVERAGE(H7:I7)</f>
        <v/>
      </c>
      <c r="K7" s="18">
        <f>COUNTIFS(Meals!$A$5:$A$35,$A7,Meals!$M$5:$M$35,"logged")</f>
        <v/>
      </c>
      <c r="L7" s="18">
        <f>COUNTIFS(Meals!$A$5:$A$35,$A7,Meals!$M$5:$M$35,"pending")</f>
        <v/>
      </c>
      <c r="M7" s="19">
        <f>D7-Targets!$B$16</f>
        <v/>
      </c>
    </row>
    <row r="8">
      <c r="A8" s="20" t="n">
        <v>46272</v>
      </c>
      <c r="B8" s="21">
        <f>SUMIFS(Meals!$D$5:$D$35,Meals!$A$5:$A$35,$A8,Meals!$M$5:$M$35,"logged")</f>
        <v/>
      </c>
      <c r="C8" s="21">
        <f>SUMIFS(Meals!$E$5:$E$35,Meals!$A$5:$A$35,$A8,Meals!$M$5:$M$35,"logged")</f>
        <v/>
      </c>
      <c r="D8" s="21">
        <f>AVERAGE(B8:C8)</f>
        <v/>
      </c>
      <c r="E8" s="22">
        <f>SUMIFS(Meals!$G$5:$G$35,Meals!$A$5:$A$35,$A8,Meals!$M$5:$M$35,"logged")</f>
        <v/>
      </c>
      <c r="F8" s="22">
        <f>SUMIFS(Meals!$H$5:$H$35,Meals!$A$5:$A$35,$A8,Meals!$M$5:$M$35,"logged")</f>
        <v/>
      </c>
      <c r="G8" s="22">
        <f>AVERAGE(E8:F8)</f>
        <v/>
      </c>
      <c r="H8" s="22">
        <f>SUMIFS(Meals!$J$5:$J$35,Meals!$A$5:$A$35,$A8,Meals!$M$5:$M$35,"logged")</f>
        <v/>
      </c>
      <c r="I8" s="22">
        <f>SUMIFS(Meals!$K$5:$K$35,Meals!$A$5:$A$35,$A8,Meals!$M$5:$M$35,"logged")</f>
        <v/>
      </c>
      <c r="J8" s="22">
        <f>AVERAGE(H8:I8)</f>
        <v/>
      </c>
      <c r="K8" s="20">
        <f>COUNTIFS(Meals!$A$5:$A$35,$A8,Meals!$M$5:$M$35,"logged")</f>
        <v/>
      </c>
      <c r="L8" s="20">
        <f>COUNTIFS(Meals!$A$5:$A$35,$A8,Meals!$M$5:$M$35,"pending")</f>
        <v/>
      </c>
      <c r="M8" s="23">
        <f>D8-Targets!$B$16</f>
        <v/>
      </c>
    </row>
    <row r="9">
      <c r="A9" s="18" t="n">
        <v>46273</v>
      </c>
      <c r="B9" s="8">
        <f>SUMIFS(Meals!$D$5:$D$35,Meals!$A$5:$A$35,$A9,Meals!$M$5:$M$35,"logged")</f>
        <v/>
      </c>
      <c r="C9" s="8">
        <f>SUMIFS(Meals!$E$5:$E$35,Meals!$A$5:$A$35,$A9,Meals!$M$5:$M$35,"logged")</f>
        <v/>
      </c>
      <c r="D9" s="8">
        <f>AVERAGE(B9:C9)</f>
        <v/>
      </c>
      <c r="E9" s="10">
        <f>SUMIFS(Meals!$G$5:$G$35,Meals!$A$5:$A$35,$A9,Meals!$M$5:$M$35,"logged")</f>
        <v/>
      </c>
      <c r="F9" s="10">
        <f>SUMIFS(Meals!$H$5:$H$35,Meals!$A$5:$A$35,$A9,Meals!$M$5:$M$35,"logged")</f>
        <v/>
      </c>
      <c r="G9" s="10">
        <f>AVERAGE(E9:F9)</f>
        <v/>
      </c>
      <c r="H9" s="10">
        <f>SUMIFS(Meals!$J$5:$J$35,Meals!$A$5:$A$35,$A9,Meals!$M$5:$M$35,"logged")</f>
        <v/>
      </c>
      <c r="I9" s="10">
        <f>SUMIFS(Meals!$K$5:$K$35,Meals!$A$5:$A$35,$A9,Meals!$M$5:$M$35,"logged")</f>
        <v/>
      </c>
      <c r="J9" s="10">
        <f>AVERAGE(H9:I9)</f>
        <v/>
      </c>
      <c r="K9" s="18">
        <f>COUNTIFS(Meals!$A$5:$A$35,$A9,Meals!$M$5:$M$35,"logged")</f>
        <v/>
      </c>
      <c r="L9" s="18">
        <f>COUNTIFS(Meals!$A$5:$A$35,$A9,Meals!$M$5:$M$35,"pending")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12" customWidth="1" min="8" max="8"/>
    <col width="11" customWidth="1" min="9" max="9"/>
    <col width="40" customWidth="1" min="10" max="10"/>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Waist change</t>
        </is>
      </c>
      <c r="I4" s="3" t="inlineStr">
        <is>
          <t>Arm change</t>
        </is>
      </c>
      <c r="J4" s="3" t="inlineStr">
        <is>
          <t>Note</t>
        </is>
      </c>
    </row>
    <row r="5">
      <c r="A5" s="27" t="inlineStr">
        <is>
          <t>No measurements yet - add a row to measurements.csv.</t>
        </is>
      </c>
    </row>
  </sheetData>
  <mergeCells count="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2026-09-08T19:49:52Z</dcterms:created>
  <dcterms:modified xsi:type="dcterms:W3CDTF">2026-09-08T19:49:52Z</dcterms:modified>
</cp:coreProperties>
</file>