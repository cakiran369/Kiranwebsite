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1" fontId="4" fillId="3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Lunch</t>
        </is>
      </c>
      <c r="C11" s="6" t="inlineStr">
        <is>
          <t>Fish fry + ~half container barik rice + sambar + veg raita + red chutney + veg side</t>
        </is>
      </c>
      <c r="D11" s="7" t="n">
        <v>590</v>
      </c>
      <c r="E11" s="7" t="n">
        <v>840</v>
      </c>
      <c r="F11" s="8">
        <f>AVERAGE(D11:E11)</f>
        <v/>
      </c>
      <c r="G11" s="9" t="n">
        <v>28</v>
      </c>
      <c r="H11" s="9" t="n">
        <v>39</v>
      </c>
      <c r="I11" s="10">
        <f>AVERAGE(G11:H11)</f>
        <v/>
      </c>
      <c r="J11" s="9" t="n">
        <v>20</v>
      </c>
      <c r="K11" s="9" t="n">
        <v>33</v>
      </c>
      <c r="L11" s="10">
        <f>AVERAGE(J11:K11)</f>
        <v/>
      </c>
      <c r="M11" s="5" t="inlineStr">
        <is>
          <t>logged</t>
        </is>
      </c>
      <c r="N11" s="6" t="inlineStr"/>
    </row>
    <row r="12">
      <c r="A12" s="4" t="n">
        <v>46270</v>
      </c>
      <c r="B12" s="5" t="inlineStr">
        <is>
          <t>Snack</t>
        </is>
      </c>
      <c r="C12" s="6" t="inlineStr">
        <is>
          <t>Black coffee + 1 whey scoop (no sugar)</t>
        </is>
      </c>
      <c r="D12" s="7" t="n">
        <v>100</v>
      </c>
      <c r="E12" s="7" t="n">
        <v>130</v>
      </c>
      <c r="F12" s="8">
        <f>AVERAGE(D12:E12)</f>
        <v/>
      </c>
      <c r="G12" s="9" t="n">
        <v>20</v>
      </c>
      <c r="H12" s="9" t="n">
        <v>25</v>
      </c>
      <c r="I12" s="10">
        <f>AVERAGE(G12:H12)</f>
        <v/>
      </c>
      <c r="J12" s="9" t="n">
        <v>1</v>
      </c>
      <c r="K12" s="9" t="n">
        <v>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1 whey scoop + water</t>
        </is>
      </c>
      <c r="D13" s="7" t="n">
        <v>100</v>
      </c>
      <c r="E13" s="7" t="n">
        <v>120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2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11" t="n">
        <v>46270</v>
      </c>
      <c r="B14" s="12" t="inlineStr">
        <is>
          <t>Snack</t>
        </is>
      </c>
      <c r="C14" s="13" t="inlineStr">
        <is>
          <t>Chocolate bar 70g (2 x 35g king-size)</t>
        </is>
      </c>
      <c r="D14" s="14" t="n">
        <v>335</v>
      </c>
      <c r="E14" s="14" t="n">
        <v>335</v>
      </c>
      <c r="F14" s="15">
        <f>AVERAGE(D14:E14)</f>
        <v/>
      </c>
      <c r="G14" s="16" t="n">
        <v>6</v>
      </c>
      <c r="H14" s="16" t="n">
        <v>6</v>
      </c>
      <c r="I14" s="17">
        <f>AVERAGE(G14:H14)</f>
        <v/>
      </c>
      <c r="J14" s="16" t="n">
        <v>16</v>
      </c>
      <c r="K14" s="16" t="n">
        <v>16</v>
      </c>
      <c r="L14" s="17">
        <f>AVERAGE(J14:K14)</f>
        <v/>
      </c>
      <c r="M14" s="12" t="inlineStr">
        <is>
          <t>pending</t>
        </is>
      </c>
      <c r="N14" s="13" t="inlineStr">
        <is>
          <t>UNCONFIRMED - asked about it then had whey with water instead; ~36 g sugar</t>
        </is>
      </c>
    </row>
    <row r="15">
      <c r="A15" s="11" t="n">
        <v>46270</v>
      </c>
      <c r="B15" s="12" t="inlineStr">
        <is>
          <t>Supplement</t>
        </is>
      </c>
      <c r="C15" s="13" t="inlineStr">
        <is>
          <t>Pre-workout scoop</t>
        </is>
      </c>
      <c r="D15" s="14" t="n">
        <v>5</v>
      </c>
      <c r="E15" s="14" t="n">
        <v>15</v>
      </c>
      <c r="F15" s="15">
        <f>AVERAGE(D15:E15)</f>
        <v/>
      </c>
      <c r="G15" s="16" t="n">
        <v>0</v>
      </c>
      <c r="H15" s="16" t="n">
        <v>0</v>
      </c>
      <c r="I15" s="17">
        <f>AVERAGE(G15:H15)</f>
        <v/>
      </c>
      <c r="J15" s="16" t="n">
        <v>0</v>
      </c>
      <c r="K15" s="16" t="n">
        <v>0</v>
      </c>
      <c r="L15" s="17">
        <f>AVERAGE(J15:K15)</f>
        <v/>
      </c>
      <c r="M15" s="12" t="inlineStr">
        <is>
          <t>pending</t>
        </is>
      </c>
      <c r="N15" s="13" t="inlineStr">
        <is>
          <t>UNCONFIRMED - planned only; no label seen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</row>
    <row r="5">
      <c r="A5" s="18" t="n">
        <v>46269</v>
      </c>
      <c r="B5" s="8">
        <f>SUMIFS(Meals!$D$5:$D$15,Meals!$A$5:$A$15,$A5,Meals!$M$5:$M$15,"logged")</f>
        <v/>
      </c>
      <c r="C5" s="8">
        <f>SUMIFS(Meals!$E$5:$E$15,Meals!$A$5:$A$15,$A5,Meals!$M$5:$M$15,"logged")</f>
        <v/>
      </c>
      <c r="D5" s="8">
        <f>AVERAGE(B5:C5)</f>
        <v/>
      </c>
      <c r="E5" s="10">
        <f>SUMIFS(Meals!$G$5:$G$15,Meals!$A$5:$A$15,$A5,Meals!$M$5:$M$15,"logged")</f>
        <v/>
      </c>
      <c r="F5" s="10">
        <f>SUMIFS(Meals!$H$5:$H$15,Meals!$A$5:$A$15,$A5,Meals!$M$5:$M$15,"logged")</f>
        <v/>
      </c>
      <c r="G5" s="10">
        <f>AVERAGE(E5:F5)</f>
        <v/>
      </c>
      <c r="H5" s="10">
        <f>SUMIFS(Meals!$J$5:$J$15,Meals!$A$5:$A$15,$A5,Meals!$M$5:$M$15,"logged")</f>
        <v/>
      </c>
      <c r="I5" s="10">
        <f>SUMIFS(Meals!$K$5:$K$15,Meals!$A$5:$A$15,$A5,Meals!$M$5:$M$15,"logged")</f>
        <v/>
      </c>
      <c r="J5" s="10">
        <f>AVERAGE(H5:I5)</f>
        <v/>
      </c>
      <c r="K5" s="18">
        <f>COUNTIFS(Meals!$A$5:$A$15,$A5,Meals!$M$5:$M$15,"logged")</f>
        <v/>
      </c>
      <c r="L5" s="18">
        <f>COUNTIFS(Meals!$A$5:$A$15,$A5,Meals!$M$5:$M$15,"pending")</f>
        <v/>
      </c>
    </row>
    <row r="6">
      <c r="A6" s="19" t="n">
        <v>46270</v>
      </c>
      <c r="B6" s="20">
        <f>SUMIFS(Meals!$D$5:$D$15,Meals!$A$5:$A$15,$A6,Meals!$M$5:$M$15,"logged")</f>
        <v/>
      </c>
      <c r="C6" s="20">
        <f>SUMIFS(Meals!$E$5:$E$15,Meals!$A$5:$A$15,$A6,Meals!$M$5:$M$15,"logged")</f>
        <v/>
      </c>
      <c r="D6" s="20">
        <f>AVERAGE(B6:C6)</f>
        <v/>
      </c>
      <c r="E6" s="21">
        <f>SUMIFS(Meals!$G$5:$G$15,Meals!$A$5:$A$15,$A6,Meals!$M$5:$M$15,"logged")</f>
        <v/>
      </c>
      <c r="F6" s="21">
        <f>SUMIFS(Meals!$H$5:$H$15,Meals!$A$5:$A$15,$A6,Meals!$M$5:$M$15,"logged")</f>
        <v/>
      </c>
      <c r="G6" s="21">
        <f>AVERAGE(E6:F6)</f>
        <v/>
      </c>
      <c r="H6" s="21">
        <f>SUMIFS(Meals!$J$5:$J$15,Meals!$A$5:$A$15,$A6,Meals!$M$5:$M$15,"logged")</f>
        <v/>
      </c>
      <c r="I6" s="21">
        <f>SUMIFS(Meals!$K$5:$K$15,Meals!$A$5:$A$15,$A6,Meals!$M$5:$M$15,"logged")</f>
        <v/>
      </c>
      <c r="J6" s="21">
        <f>AVERAGE(H6:I6)</f>
        <v/>
      </c>
      <c r="K6" s="19">
        <f>COUNTIFS(Meals!$A$5:$A$15,$A6,Meals!$M$5:$M$15,"logged")</f>
        <v/>
      </c>
      <c r="L6" s="19">
        <f>COUNTIFS(Meals!$A$5:$A$15,$A6,Meals!$M$5:$M$15,"pending")</f>
        <v/>
      </c>
    </row>
  </sheetData>
  <mergeCells count="1">
    <mergeCell ref="A2:L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3">
      <c r="A3" s="22" t="inlineStr">
        <is>
          <t>Assumptions</t>
        </is>
      </c>
    </row>
    <row r="4">
      <c r="A4" s="23" t="inlineStr">
        <is>
          <t>Protein target low (g/day)</t>
        </is>
      </c>
      <c r="B4" s="24" t="n">
        <v>90</v>
      </c>
      <c r="C4" s="25" t="inlineStr">
        <is>
          <t>Source: stated by user (adjust to bodyweight). Yellow = edit me.</t>
        </is>
      </c>
    </row>
    <row r="5">
      <c r="A5" s="23" t="inlineStr">
        <is>
          <t>Protein target high (g/day)</t>
        </is>
      </c>
      <c r="B5" s="24" t="n">
        <v>130</v>
      </c>
    </row>
    <row r="7">
      <c r="A7" s="22" t="inlineStr">
        <is>
          <t>Overall</t>
        </is>
      </c>
    </row>
    <row r="8">
      <c r="A8" s="23" t="inlineStr">
        <is>
          <t>Days logged</t>
        </is>
      </c>
      <c r="B8" s="18">
        <f>COUNT(Daily!$A$5:$A$6)</f>
        <v/>
      </c>
    </row>
    <row r="9">
      <c r="A9" s="23" t="inlineStr">
        <is>
          <t>Avg calories/day (mid)</t>
        </is>
      </c>
      <c r="B9" s="8">
        <f>IFERROR(AVERAGE(Daily!$D$5:$D$6),0)</f>
        <v/>
      </c>
    </row>
    <row r="10">
      <c r="A10" s="23" t="inlineStr">
        <is>
          <t>Avg protein/day (mid, g)</t>
        </is>
      </c>
      <c r="B10" s="10">
        <f>IFERROR(AVERAGE(Daily!$G$5:$G$6),0)</f>
        <v/>
      </c>
    </row>
    <row r="11">
      <c r="A11" s="23" t="inlineStr">
        <is>
          <t>Avg fat/day (mid, g)</t>
        </is>
      </c>
      <c r="B11" s="10">
        <f>IFERROR(AVERAGE(Daily!$J$5:$J$6),0)</f>
        <v/>
      </c>
    </row>
    <row r="12">
      <c r="A12" s="23" t="inlineStr">
        <is>
          <t>Days hitting protein target</t>
        </is>
      </c>
      <c r="B12" s="18">
        <f>COUNTIFS(Daily!$G$5:$G$6,"&gt;="&amp;$B$4)</f>
        <v/>
      </c>
    </row>
    <row r="13">
      <c r="A13" s="23" t="inlineStr">
        <is>
          <t>Total pending (unconfirmed) items</t>
        </is>
      </c>
      <c r="B13" s="18">
        <f>SUM(Daily!$L$5:$L$6)</f>
        <v/>
      </c>
    </row>
    <row r="15">
      <c r="A15" s="22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COUNTIFS(Daily!$A$5:$A$6,"&gt;="&amp;$A17,Daily!$A$5:$A$6,"&lt;="&amp;$B17)</f>
        <v/>
      </c>
      <c r="D17" s="8">
        <f>IFERROR(AVERAGEIFS(Daily!$D$5:$D$6,Daily!$A$5:$A$6,"&gt;="&amp;$A17,Daily!$A$5:$A$6,"&lt;="&amp;$B17),0)</f>
        <v/>
      </c>
      <c r="E17" s="10">
        <f>IFERROR(AVERAGEIFS(Daily!$G$5:$G$6,Daily!$A$5:$A$6,"&gt;="&amp;$A17,Daily!$A$5:$A$6,"&lt;="&amp;$B17),0)</f>
        <v/>
      </c>
      <c r="F17" s="10">
        <f>IFERROR(AVERAGEIFS(Daily!$J$5:$J$6,Daily!$A$5:$A$6,"&gt;="&amp;$A17,Daily!$A$5:$A$6,"&lt;="&amp;$B17),0)</f>
        <v/>
      </c>
    </row>
    <row r="19">
      <c r="A19" s="22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COUNTIFS(Daily!$A$5:$A$6,"&gt;="&amp;$A21,Daily!$A$5:$A$6,"&lt;="&amp;$B21)</f>
        <v/>
      </c>
      <c r="D21" s="8">
        <f>IFERROR(AVERAGEIFS(Daily!$D$5:$D$6,Daily!$A$5:$A$6,"&gt;="&amp;$A21,Daily!$A$5:$A$6,"&lt;="&amp;$B21),0)</f>
        <v/>
      </c>
      <c r="E21" s="10">
        <f>IFERROR(AVERAGEIFS(Daily!$G$5:$G$6,Daily!$A$5:$A$6,"&gt;="&amp;$A21,Daily!$A$5:$A$6,"&lt;="&amp;$B21),0)</f>
        <v/>
      </c>
      <c r="F21" s="10">
        <f>IFERROR(AVERAGEIFS(Daily!$J$5:$J$6,Daily!$A$5:$A$6,"&gt;="&amp;$A21,Daily!$A$5:$A$6,"&lt;="&amp;$B21),0)</f>
        <v/>
      </c>
    </row>
    <row r="23">
      <c r="A23" s="25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Kadala curry (1 container)</t>
        </is>
      </c>
      <c r="B13" s="7" t="n">
        <v>200</v>
      </c>
      <c r="C13" s="7" t="n">
        <v>300</v>
      </c>
      <c r="D13" s="8">
        <f>AVERAGE(B13:C13)</f>
        <v/>
      </c>
      <c r="E13" s="5" t="inlineStr">
        <is>
          <t>~8-10 g</t>
        </is>
      </c>
      <c r="F13" s="6" t="inlineStr"/>
    </row>
    <row r="14">
      <c r="A14" s="6" t="inlineStr">
        <is>
          <t>Fish fry (1 piece pan-fried)</t>
        </is>
      </c>
      <c r="B14" s="7" t="n">
        <v>150</v>
      </c>
      <c r="C14" s="7" t="n">
        <v>220</v>
      </c>
      <c r="D14" s="8">
        <f>AVERAGE(B14:C14)</f>
        <v/>
      </c>
      <c r="E14" s="5" t="inlineStr">
        <is>
          <t>~15-20 g</t>
        </is>
      </c>
      <c r="F14" s="6" t="inlineStr"/>
    </row>
    <row r="15">
      <c r="A15" s="6" t="inlineStr">
        <is>
          <t>Barik/basmati rice (half container cooked)</t>
        </is>
      </c>
      <c r="B15" s="7" t="n">
        <v>200</v>
      </c>
      <c r="C15" s="7" t="n">
        <v>280</v>
      </c>
      <c r="D15" s="8">
        <f>AVERAGE(B15:C15)</f>
        <v/>
      </c>
      <c r="E15" s="5" t="inlineStr">
        <is>
          <t>~4-5 g</t>
        </is>
      </c>
      <c r="F15" s="6" t="inlineStr"/>
    </row>
    <row r="16">
      <c r="A16" s="6" t="inlineStr">
        <is>
          <t>Whey scoop (in water)</t>
        </is>
      </c>
      <c r="B16" s="7" t="n">
        <v>100</v>
      </c>
      <c r="C16" s="7" t="n">
        <v>120</v>
      </c>
      <c r="D16" s="8">
        <f>AVERAGE(B16:C16)</f>
        <v/>
      </c>
      <c r="E16" s="5" t="inlineStr">
        <is>
          <t>~20-25 g</t>
        </is>
      </c>
      <c r="F16" s="6" t="inlineStr"/>
    </row>
    <row r="17">
      <c r="A17" s="6" t="inlineStr">
        <is>
          <t>Whey scoop (in black coffee no sugar)</t>
        </is>
      </c>
      <c r="B17" s="7" t="n">
        <v>100</v>
      </c>
      <c r="C17" s="7" t="n">
        <v>130</v>
      </c>
      <c r="D17" s="8">
        <f>AVERAGE(B17:C17)</f>
        <v/>
      </c>
      <c r="E17" s="5" t="inlineStr">
        <is>
          <t>~20-25 g</t>
        </is>
      </c>
      <c r="F17" s="6" t="inlineStr"/>
    </row>
    <row r="18">
      <c r="A18" s="6" t="inlineStr">
        <is>
          <t>Cashew/almond biscuit (1)</t>
        </is>
      </c>
      <c r="B18" s="7" t="n">
        <v>38</v>
      </c>
      <c r="C18" s="7" t="n">
        <v>38</v>
      </c>
      <c r="D18" s="8">
        <f>AVERAGE(B18:C18)</f>
        <v/>
      </c>
      <c r="E18" s="5" t="inlineStr">
        <is>
          <t>~0.5 g</t>
        </is>
      </c>
      <c r="F18" s="6" t="inlineStr"/>
    </row>
    <row r="19">
      <c r="A19" s="6" t="inlineStr">
        <is>
          <t>Chocolate bar (~50g standard)</t>
        </is>
      </c>
      <c r="B19" s="7" t="n">
        <v>245</v>
      </c>
      <c r="C19" s="7" t="n">
        <v>250</v>
      </c>
      <c r="D19" s="8">
        <f>AVERAGE(B19:C19)</f>
        <v/>
      </c>
      <c r="E19" s="5" t="inlineStr">
        <is>
          <t>~4 g</t>
        </is>
      </c>
      <c r="F19" s="6" t="inlineStr"/>
    </row>
    <row r="20">
      <c r="A20" s="6" t="inlineStr">
        <is>
          <t>Chocolate bar (70g king-size)</t>
        </is>
      </c>
      <c r="B20" s="7" t="n">
        <v>335</v>
      </c>
      <c r="C20" s="7" t="n">
        <v>335</v>
      </c>
      <c r="D20" s="8">
        <f>AVERAGE(B20:C20)</f>
        <v/>
      </c>
      <c r="E20" s="5" t="inlineStr">
        <is>
          <t>~6 g</t>
        </is>
      </c>
      <c r="F20" s="6" t="inlineStr"/>
    </row>
    <row r="21">
      <c r="A21" s="6" t="inlineStr">
        <is>
          <t>Pre-workout scoop</t>
        </is>
      </c>
      <c r="B21" s="7" t="n">
        <v>5</v>
      </c>
      <c r="C21" s="7" t="n">
        <v>15</v>
      </c>
      <c r="D21" s="8">
        <f>AVERAGE(B21:C21)</f>
        <v/>
      </c>
      <c r="E21" s="5" t="inlineStr">
        <is>
          <t>0 g</t>
        </is>
      </c>
      <c r="F21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2026-09-05T12:29:59Z</dcterms:created>
  <dcterms:modified xsi:type="dcterms:W3CDTF">2026-09-05T12:29:59Z</dcterms:modified>
</cp:coreProperties>
</file>