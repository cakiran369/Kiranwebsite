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als" sheetId="1" state="visible" r:id="rId1"/>
    <sheet name="Daily" sheetId="2" state="visible" r:id="rId2"/>
    <sheet name="Weights" sheetId="3" state="visible" r:id="rId3"/>
    <sheet name="Measurements" sheetId="4" state="visible" r:id="rId4"/>
    <sheet name="Mess Plan" sheetId="5" state="visible" r:id="rId5"/>
    <sheet name="Trends" sheetId="6" state="visible" r:id="rId6"/>
    <sheet name="Targets" sheetId="7" state="visible" r:id="rId7"/>
    <sheet name="Reference" sheetId="8" state="visible" r:id="rId8"/>
  </sheets>
  <definedNames/>
  <calcPr calcId="124519" fullCalcOnLoad="1"/>
</workbook>
</file>

<file path=xl/styles.xml><?xml version="1.0" encoding="utf-8"?>
<styleSheet xmlns="http://schemas.openxmlformats.org/spreadsheetml/2006/main">
  <numFmts count="4">
    <numFmt numFmtId="164" formatCode="yyyy-mm-dd"/>
    <numFmt numFmtId="165" formatCode="0.0"/>
    <numFmt numFmtId="166" formatCode="+#,##0;-#,##0;0"/>
    <numFmt numFmtId="167" formatCode="+0.00;-0.00;0.00"/>
  </numFmts>
  <fonts count="9">
    <font>
      <name val="Calibri"/>
      <family val="2"/>
      <color theme="1"/>
      <sz val="11"/>
      <scheme val="minor"/>
    </font>
    <font>
      <name val="Arial"/>
      <b val="1"/>
      <sz val="12"/>
    </font>
    <font>
      <name val="Arial"/>
      <i val="1"/>
      <color rgb="00595959"/>
      <sz val="9"/>
    </font>
    <font>
      <name val="Arial"/>
      <b val="1"/>
      <color rgb="00FFFFFF"/>
      <sz val="10"/>
    </font>
    <font>
      <name val="Arial"/>
      <color rgb="000000FF"/>
      <sz val="10"/>
    </font>
    <font>
      <name val="Arial"/>
      <color rgb="00000000"/>
      <sz val="10"/>
    </font>
    <font>
      <name val="Arial"/>
      <b val="1"/>
      <sz val="10"/>
    </font>
    <font>
      <name val="Arial"/>
      <sz val="10"/>
    </font>
    <font>
      <name val="Arial"/>
      <color rgb="00008000"/>
      <sz val="10"/>
    </font>
  </fonts>
  <fills count="5">
    <fill>
      <patternFill/>
    </fill>
    <fill>
      <patternFill patternType="gray125"/>
    </fill>
    <fill>
      <patternFill patternType="solid">
        <fgColor rgb="002F5597"/>
      </patternFill>
    </fill>
    <fill>
      <patternFill patternType="solid">
        <fgColor rgb="00FFFF00"/>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164" fontId="4" fillId="0" borderId="1" pivotButton="0" quotePrefix="0" xfId="0"/>
    <xf numFmtId="0" fontId="4" fillId="0" borderId="1" pivotButton="0" quotePrefix="0" xfId="0"/>
    <xf numFmtId="0" fontId="4" fillId="0" borderId="1" applyAlignment="1" pivotButton="0" quotePrefix="0" xfId="0">
      <alignment vertical="top" wrapText="1"/>
    </xf>
    <xf numFmtId="3" fontId="4" fillId="0" borderId="1" pivotButton="0" quotePrefix="0" xfId="0"/>
    <xf numFmtId="3" fontId="5" fillId="0" borderId="1" pivotButton="0" quotePrefix="0" xfId="0"/>
    <xf numFmtId="165" fontId="4" fillId="0" borderId="1" pivotButton="0" quotePrefix="0" xfId="0"/>
    <xf numFmtId="165" fontId="5" fillId="0" borderId="1" pivotButton="0" quotePrefix="0" xfId="0"/>
    <xf numFmtId="164" fontId="4" fillId="3" borderId="1" pivotButton="0" quotePrefix="0" xfId="0"/>
    <xf numFmtId="0" fontId="4" fillId="3" borderId="1" pivotButton="0" quotePrefix="0" xfId="0"/>
    <xf numFmtId="0" fontId="4" fillId="3" borderId="1" applyAlignment="1" pivotButton="0" quotePrefix="0" xfId="0">
      <alignment vertical="top" wrapText="1"/>
    </xf>
    <xf numFmtId="3" fontId="4" fillId="3" borderId="1" pivotButton="0" quotePrefix="0" xfId="0"/>
    <xf numFmtId="3" fontId="5" fillId="3" borderId="1" pivotButton="0" quotePrefix="0" xfId="0"/>
    <xf numFmtId="165" fontId="4" fillId="3" borderId="1" pivotButton="0" quotePrefix="0" xfId="0"/>
    <xf numFmtId="165" fontId="5" fillId="3" borderId="1" pivotButton="0" quotePrefix="0" xfId="0"/>
    <xf numFmtId="1" fontId="5" fillId="0" borderId="1" pivotButton="0" quotePrefix="0" xfId="0"/>
    <xf numFmtId="166" fontId="5" fillId="0" borderId="1" pivotButton="0" quotePrefix="0" xfId="0"/>
    <xf numFmtId="1" fontId="5" fillId="4" borderId="1" pivotButton="0" quotePrefix="0" xfId="0"/>
    <xf numFmtId="3" fontId="5" fillId="4" borderId="1" pivotButton="0" quotePrefix="0" xfId="0"/>
    <xf numFmtId="165" fontId="5" fillId="4" borderId="1" pivotButton="0" quotePrefix="0" xfId="0"/>
    <xf numFmtId="166" fontId="5" fillId="4" borderId="1" pivotButton="0" quotePrefix="0" xfId="0"/>
    <xf numFmtId="2" fontId="4" fillId="0" borderId="1" pivotButton="0" quotePrefix="0" xfId="0"/>
    <xf numFmtId="167" fontId="5" fillId="0" borderId="1" pivotButton="0" quotePrefix="0" xfId="0"/>
    <xf numFmtId="2" fontId="5" fillId="0" borderId="1" pivotButton="0" quotePrefix="0" xfId="0"/>
    <xf numFmtId="0" fontId="2" fillId="0" borderId="0" pivotButton="0" quotePrefix="0" xfId="0"/>
    <xf numFmtId="0" fontId="6" fillId="0" borderId="0" pivotButton="0" quotePrefix="0" xfId="0"/>
    <xf numFmtId="0" fontId="7" fillId="0" borderId="0" pivotButton="0" quotePrefix="0" xfId="0"/>
    <xf numFmtId="0" fontId="7" fillId="0" borderId="1" applyAlignment="1" pivotButton="0" quotePrefix="0" xfId="0">
      <alignment vertical="top" wrapText="1"/>
    </xf>
    <xf numFmtId="1" fontId="4" fillId="3" borderId="1" pivotButton="0" quotePrefix="0" xfId="0"/>
    <xf numFmtId="2" fontId="8" fillId="0" borderId="1" pivotButton="0" quotePrefix="0" xfId="0"/>
    <xf numFmtId="0" fontId="2" fillId="0" borderId="0" applyAlignment="1" pivotButton="0" quotePrefix="0" xfId="0">
      <alignment vertical="center" wrapText="1"/>
    </xf>
    <xf numFmtId="2" fontId="4" fillId="3" borderId="1" pivotButton="0" quotePrefix="0" xfId="0"/>
    <xf numFmtId="3"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9"/>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46" customWidth="1" min="3" max="3"/>
    <col width="9" customWidth="1" min="4" max="4"/>
    <col width="9" customWidth="1" min="5" max="5"/>
    <col width="9" customWidth="1" min="6" max="6"/>
    <col width="11" customWidth="1" min="7" max="7"/>
    <col width="11" customWidth="1" min="8" max="8"/>
    <col width="11" customWidth="1" min="9" max="9"/>
    <col width="9" customWidth="1" min="10" max="10"/>
    <col width="9" customWidth="1" min="11" max="11"/>
    <col width="9" customWidth="1" min="12" max="12"/>
    <col width="10" customWidth="1" min="13" max="13"/>
    <col width="48" customWidth="1" min="14" max="14"/>
  </cols>
  <sheetData>
    <row r="1">
      <c r="A1" s="1" t="inlineStr">
        <is>
          <t>Meal log - one row per meal, calorie/protein/fat given as a low-high range</t>
        </is>
      </c>
    </row>
    <row r="2" ht="42" customHeight="1">
      <c r="A2" s="2" t="inlineStr">
        <is>
          <t>Edit the blue cells only. Add a new meal as a new row directly under the last one, then re-run nutrition/build_tracker.py so the Daily and Trends sheets pick it up. Set status to "pending" for anything not yet confirmed eaten - pending rows are excluded from every total. Yellow rows are awaiting confirmation.</t>
        </is>
      </c>
    </row>
    <row r="4">
      <c r="A4" s="3" t="inlineStr">
        <is>
          <t>Date</t>
        </is>
      </c>
      <c r="B4" s="3" t="inlineStr">
        <is>
          <t>Meal</t>
        </is>
      </c>
      <c r="C4" s="3" t="inlineStr">
        <is>
          <t>Items</t>
        </is>
      </c>
      <c r="D4" s="3" t="inlineStr">
        <is>
          <t>Cal low</t>
        </is>
      </c>
      <c r="E4" s="3" t="inlineStr">
        <is>
          <t>Cal high</t>
        </is>
      </c>
      <c r="F4" s="3" t="inlineStr">
        <is>
          <t>Cal mid</t>
        </is>
      </c>
      <c r="G4" s="3" t="inlineStr">
        <is>
          <t>Protein low (g)</t>
        </is>
      </c>
      <c r="H4" s="3" t="inlineStr">
        <is>
          <t>Protein high (g)</t>
        </is>
      </c>
      <c r="I4" s="3" t="inlineStr">
        <is>
          <t>Protein mid (g)</t>
        </is>
      </c>
      <c r="J4" s="3" t="inlineStr">
        <is>
          <t>Fat low (g)</t>
        </is>
      </c>
      <c r="K4" s="3" t="inlineStr">
        <is>
          <t>Fat high (g)</t>
        </is>
      </c>
      <c r="L4" s="3" t="inlineStr">
        <is>
          <t>Fat mid (g)</t>
        </is>
      </c>
      <c r="M4" s="3" t="inlineStr">
        <is>
          <t>Status</t>
        </is>
      </c>
      <c r="N4" s="3" t="inlineStr">
        <is>
          <t>Notes</t>
        </is>
      </c>
    </row>
    <row r="5">
      <c r="A5" s="4" t="n">
        <v>46269</v>
      </c>
      <c r="B5" s="5" t="inlineStr">
        <is>
          <t>Breakfast</t>
        </is>
      </c>
      <c r="C5" s="6" t="inlineStr">
        <is>
          <t>Dosa + sambar + red chutney (coconut chutney skipped)</t>
        </is>
      </c>
      <c r="D5" s="7" t="n">
        <v>360</v>
      </c>
      <c r="E5" s="7" t="n">
        <v>450</v>
      </c>
      <c r="F5" s="8">
        <f>AVERAGE(D5:E5)</f>
        <v/>
      </c>
      <c r="G5" s="9" t="n">
        <v>6</v>
      </c>
      <c r="H5" s="9" t="n">
        <v>9</v>
      </c>
      <c r="I5" s="10">
        <f>AVERAGE(G5:H5)</f>
        <v/>
      </c>
      <c r="J5" s="9" t="n">
        <v>8</v>
      </c>
      <c r="K5" s="9" t="n">
        <v>12</v>
      </c>
      <c r="L5" s="10">
        <f>AVERAGE(J5:K5)</f>
        <v/>
      </c>
      <c r="M5" s="5" t="inlineStr">
        <is>
          <t>logged</t>
        </is>
      </c>
      <c r="N5" s="6" t="inlineStr"/>
    </row>
    <row r="6">
      <c r="A6" s="4" t="n">
        <v>46269</v>
      </c>
      <c r="B6" s="5" t="inlineStr">
        <is>
          <t>Dinner</t>
        </is>
      </c>
      <c r="C6" s="6" t="inlineStr">
        <is>
          <t>2 maida porotta + kadala curry</t>
        </is>
      </c>
      <c r="D6" s="7" t="n">
        <v>520</v>
      </c>
      <c r="E6" s="7" t="n">
        <v>800</v>
      </c>
      <c r="F6" s="8">
        <f>AVERAGE(D6:E6)</f>
        <v/>
      </c>
      <c r="G6" s="9" t="n">
        <v>15</v>
      </c>
      <c r="H6" s="9" t="n">
        <v>21</v>
      </c>
      <c r="I6" s="10">
        <f>AVERAGE(G6:H6)</f>
        <v/>
      </c>
      <c r="J6" s="9" t="n">
        <v>23</v>
      </c>
      <c r="K6" s="9" t="n">
        <v>38</v>
      </c>
      <c r="L6" s="10">
        <f>AVERAGE(J6:K6)</f>
        <v/>
      </c>
      <c r="M6" s="5" t="inlineStr">
        <is>
          <t>logged</t>
        </is>
      </c>
      <c r="N6" s="6" t="inlineStr">
        <is>
          <t>Dropped from 3 to 2 porotta to tighten calories and fat</t>
        </is>
      </c>
    </row>
    <row r="7">
      <c r="A7" s="4" t="n">
        <v>46269</v>
      </c>
      <c r="B7" s="5" t="inlineStr">
        <is>
          <t>Lunch</t>
        </is>
      </c>
      <c r="C7" s="6" t="inlineStr">
        <is>
          <t>Chicken biryani (half plate) + raita</t>
        </is>
      </c>
      <c r="D7" s="7" t="n">
        <v>500</v>
      </c>
      <c r="E7" s="7" t="n">
        <v>680</v>
      </c>
      <c r="F7" s="8">
        <f>AVERAGE(D7:E7)</f>
        <v/>
      </c>
      <c r="G7" s="9" t="n">
        <v>25</v>
      </c>
      <c r="H7" s="9" t="n">
        <v>35</v>
      </c>
      <c r="I7" s="10">
        <f>AVERAGE(G7:H7)</f>
        <v/>
      </c>
      <c r="J7" s="9" t="n">
        <v>18</v>
      </c>
      <c r="K7" s="9" t="n">
        <v>28</v>
      </c>
      <c r="L7" s="10">
        <f>AVERAGE(J7:K7)</f>
        <v/>
      </c>
      <c r="M7" s="5" t="inlineStr">
        <is>
          <t>logged</t>
        </is>
      </c>
      <c r="N7" s="6" t="inlineStr"/>
    </row>
    <row r="8">
      <c r="A8" s="4" t="n">
        <v>46269</v>
      </c>
      <c r="B8" s="5" t="inlineStr">
        <is>
          <t>Snack</t>
        </is>
      </c>
      <c r="C8" s="6" t="inlineStr">
        <is>
          <t>Black coffee + 1 whey scoop</t>
        </is>
      </c>
      <c r="D8" s="7" t="n">
        <v>100</v>
      </c>
      <c r="E8" s="7" t="n">
        <v>130</v>
      </c>
      <c r="F8" s="8">
        <f>AVERAGE(D8:E8)</f>
        <v/>
      </c>
      <c r="G8" s="9" t="n">
        <v>20</v>
      </c>
      <c r="H8" s="9" t="n">
        <v>25</v>
      </c>
      <c r="I8" s="10">
        <f>AVERAGE(G8:H8)</f>
        <v/>
      </c>
      <c r="J8" s="9" t="n">
        <v>1</v>
      </c>
      <c r="K8" s="9" t="n">
        <v>3</v>
      </c>
      <c r="L8" s="10">
        <f>AVERAGE(J8:K8)</f>
        <v/>
      </c>
      <c r="M8" s="5" t="inlineStr">
        <is>
          <t>logged</t>
        </is>
      </c>
      <c r="N8" s="6" t="inlineStr"/>
    </row>
    <row r="9">
      <c r="A9" s="4" t="n">
        <v>46269</v>
      </c>
      <c r="B9" s="5" t="inlineStr">
        <is>
          <t>Snack</t>
        </is>
      </c>
      <c r="C9" s="6" t="inlineStr">
        <is>
          <t>1 cookie (cashew/almond biscuit)</t>
        </is>
      </c>
      <c r="D9" s="7" t="n">
        <v>38</v>
      </c>
      <c r="E9" s="7" t="n">
        <v>38</v>
      </c>
      <c r="F9" s="8">
        <f>AVERAGE(D9:E9)</f>
        <v/>
      </c>
      <c r="G9" s="9" t="n">
        <v>0.5</v>
      </c>
      <c r="H9" s="9" t="n">
        <v>0.5</v>
      </c>
      <c r="I9" s="10">
        <f>AVERAGE(G9:H9)</f>
        <v/>
      </c>
      <c r="J9" s="9" t="n">
        <v>2</v>
      </c>
      <c r="K9" s="9" t="n">
        <v>2</v>
      </c>
      <c r="L9" s="10">
        <f>AVERAGE(J9:K9)</f>
        <v/>
      </c>
      <c r="M9" s="5" t="inlineStr">
        <is>
          <t>logged</t>
        </is>
      </c>
      <c r="N9" s="6" t="inlineStr"/>
    </row>
    <row r="10">
      <c r="A10" s="4" t="n">
        <v>46270</v>
      </c>
      <c r="B10" s="5" t="inlineStr">
        <is>
          <t>Breakfast</t>
        </is>
      </c>
      <c r="C10" s="6" t="inlineStr">
        <is>
          <t>2 dosa + sambar + red chutney (coconut chutney skipped)</t>
        </is>
      </c>
      <c r="D10" s="7" t="n">
        <v>410</v>
      </c>
      <c r="E10" s="7" t="n">
        <v>520</v>
      </c>
      <c r="F10" s="8">
        <f>AVERAGE(D10:E10)</f>
        <v/>
      </c>
      <c r="G10" s="9" t="n">
        <v>11</v>
      </c>
      <c r="H10" s="9" t="n">
        <v>15</v>
      </c>
      <c r="I10" s="10">
        <f>AVERAGE(G10:H10)</f>
        <v/>
      </c>
      <c r="J10" s="9" t="n">
        <v>10</v>
      </c>
      <c r="K10" s="9" t="n">
        <v>17</v>
      </c>
      <c r="L10" s="10">
        <f>AVERAGE(J10:K10)</f>
        <v/>
      </c>
      <c r="M10" s="5" t="inlineStr">
        <is>
          <t>logged</t>
        </is>
      </c>
      <c r="N10" s="6" t="inlineStr"/>
    </row>
    <row r="11">
      <c r="A11" s="4" t="n">
        <v>46270</v>
      </c>
      <c r="B11" s="5" t="inlineStr">
        <is>
          <t>Dinner</t>
        </is>
      </c>
      <c r="C11" s="6" t="inlineStr">
        <is>
          <t>Fresh pineapple juice (~350-450 ml takeaway cup) - no added sugar</t>
        </is>
      </c>
      <c r="D11" s="7" t="n">
        <v>175</v>
      </c>
      <c r="E11" s="7" t="n">
        <v>240</v>
      </c>
      <c r="F11" s="8">
        <f>AVERAGE(D11:E11)</f>
        <v/>
      </c>
      <c r="G11" s="9" t="n">
        <v>1</v>
      </c>
      <c r="H11" s="9" t="n">
        <v>2</v>
      </c>
      <c r="I11" s="10">
        <f>AVERAGE(G11:H11)</f>
        <v/>
      </c>
      <c r="J11" s="9" t="n">
        <v>0</v>
      </c>
      <c r="K11" s="9" t="n">
        <v>0.5</v>
      </c>
      <c r="L11" s="10">
        <f>AVERAGE(J11:K11)</f>
        <v/>
      </c>
      <c r="M11" s="5" t="inlineStr">
        <is>
          <t>logged</t>
        </is>
      </c>
      <c r="N11" s="6" t="inlineStr">
        <is>
          <t>Juice only - no solid food at dinner. ~35-45 g natural sugar; no fibre; ~1.5 g protein</t>
        </is>
      </c>
    </row>
    <row r="12">
      <c r="A12" s="4" t="n">
        <v>46270</v>
      </c>
      <c r="B12" s="5" t="inlineStr">
        <is>
          <t>Lunch</t>
        </is>
      </c>
      <c r="C12" s="6" t="inlineStr">
        <is>
          <t>Fish fry + ~half container barik rice + sambar + veg raita + red chutney + veg side</t>
        </is>
      </c>
      <c r="D12" s="7" t="n">
        <v>590</v>
      </c>
      <c r="E12" s="7" t="n">
        <v>840</v>
      </c>
      <c r="F12" s="8">
        <f>AVERAGE(D12:E12)</f>
        <v/>
      </c>
      <c r="G12" s="9" t="n">
        <v>28</v>
      </c>
      <c r="H12" s="9" t="n">
        <v>39</v>
      </c>
      <c r="I12" s="10">
        <f>AVERAGE(G12:H12)</f>
        <v/>
      </c>
      <c r="J12" s="9" t="n">
        <v>20</v>
      </c>
      <c r="K12" s="9" t="n">
        <v>33</v>
      </c>
      <c r="L12" s="10">
        <f>AVERAGE(J12:K12)</f>
        <v/>
      </c>
      <c r="M12" s="5" t="inlineStr">
        <is>
          <t>logged</t>
        </is>
      </c>
      <c r="N12" s="6" t="inlineStr"/>
    </row>
    <row r="13">
      <c r="A13" s="4" t="n">
        <v>46270</v>
      </c>
      <c r="B13" s="5" t="inlineStr">
        <is>
          <t>Snack</t>
        </is>
      </c>
      <c r="C13" s="6" t="inlineStr">
        <is>
          <t>Black coffee + 1 whey scoop (no sugar)</t>
        </is>
      </c>
      <c r="D13" s="7" t="n">
        <v>100</v>
      </c>
      <c r="E13" s="7" t="n">
        <v>130</v>
      </c>
      <c r="F13" s="8">
        <f>AVERAGE(D13:E13)</f>
        <v/>
      </c>
      <c r="G13" s="9" t="n">
        <v>20</v>
      </c>
      <c r="H13" s="9" t="n">
        <v>25</v>
      </c>
      <c r="I13" s="10">
        <f>AVERAGE(G13:H13)</f>
        <v/>
      </c>
      <c r="J13" s="9" t="n">
        <v>1</v>
      </c>
      <c r="K13" s="9" t="n">
        <v>3</v>
      </c>
      <c r="L13" s="10">
        <f>AVERAGE(J13:K13)</f>
        <v/>
      </c>
      <c r="M13" s="5" t="inlineStr">
        <is>
          <t>logged</t>
        </is>
      </c>
      <c r="N13" s="6" t="inlineStr"/>
    </row>
    <row r="14">
      <c r="A14" s="4" t="n">
        <v>46270</v>
      </c>
      <c r="B14" s="5" t="inlineStr">
        <is>
          <t>Snack</t>
        </is>
      </c>
      <c r="C14" s="6" t="inlineStr">
        <is>
          <t>1 whey scoop + water</t>
        </is>
      </c>
      <c r="D14" s="7" t="n">
        <v>100</v>
      </c>
      <c r="E14" s="7" t="n">
        <v>120</v>
      </c>
      <c r="F14" s="8">
        <f>AVERAGE(D14:E14)</f>
        <v/>
      </c>
      <c r="G14" s="9" t="n">
        <v>20</v>
      </c>
      <c r="H14" s="9" t="n">
        <v>25</v>
      </c>
      <c r="I14" s="10">
        <f>AVERAGE(G14:H14)</f>
        <v/>
      </c>
      <c r="J14" s="9" t="n">
        <v>1</v>
      </c>
      <c r="K14" s="9" t="n">
        <v>2</v>
      </c>
      <c r="L14" s="10">
        <f>AVERAGE(J14:K14)</f>
        <v/>
      </c>
      <c r="M14" s="5" t="inlineStr">
        <is>
          <t>logged</t>
        </is>
      </c>
      <c r="N14" s="6" t="inlineStr"/>
    </row>
    <row r="15">
      <c r="A15" s="4" t="n">
        <v>46270</v>
      </c>
      <c r="B15" s="5" t="inlineStr">
        <is>
          <t>Snack</t>
        </is>
      </c>
      <c r="C15" s="6" t="inlineStr">
        <is>
          <t>3 uzhunnu vada + coconut chutney</t>
        </is>
      </c>
      <c r="D15" s="7" t="n">
        <v>480</v>
      </c>
      <c r="E15" s="7" t="n">
        <v>650</v>
      </c>
      <c r="F15" s="8">
        <f>AVERAGE(D15:E15)</f>
        <v/>
      </c>
      <c r="G15" s="9" t="n">
        <v>11.5</v>
      </c>
      <c r="H15" s="9" t="n">
        <v>17</v>
      </c>
      <c r="I15" s="10">
        <f>AVERAGE(G15:H15)</f>
        <v/>
      </c>
      <c r="J15" s="9" t="n">
        <v>29</v>
      </c>
      <c r="K15" s="9" t="n">
        <v>40</v>
      </c>
      <c r="L15" s="10">
        <f>AVERAGE(J15:K15)</f>
        <v/>
      </c>
      <c r="M15" s="5" t="inlineStr">
        <is>
          <t>logged</t>
        </is>
      </c>
      <c r="N15" s="6" t="inlineStr">
        <is>
          <t>Coconut chutney included this time (skipped at breakfast both days)</t>
        </is>
      </c>
    </row>
    <row r="16">
      <c r="A16" s="11" t="n">
        <v>46270</v>
      </c>
      <c r="B16" s="12" t="inlineStr">
        <is>
          <t>Supplement</t>
        </is>
      </c>
      <c r="C16" s="13" t="inlineStr">
        <is>
          <t>Pre-workout scoop</t>
        </is>
      </c>
      <c r="D16" s="14" t="n">
        <v>5</v>
      </c>
      <c r="E16" s="14" t="n">
        <v>15</v>
      </c>
      <c r="F16" s="15">
        <f>AVERAGE(D16:E16)</f>
        <v/>
      </c>
      <c r="G16" s="16" t="n">
        <v>0</v>
      </c>
      <c r="H16" s="16" t="n">
        <v>0</v>
      </c>
      <c r="I16" s="17">
        <f>AVERAGE(G16:H16)</f>
        <v/>
      </c>
      <c r="J16" s="16" t="n">
        <v>0</v>
      </c>
      <c r="K16" s="16" t="n">
        <v>0</v>
      </c>
      <c r="L16" s="17">
        <f>AVERAGE(J16:K16)</f>
        <v/>
      </c>
      <c r="M16" s="12" t="inlineStr">
        <is>
          <t>pending</t>
        </is>
      </c>
      <c r="N16" s="13" t="inlineStr">
        <is>
          <t>Planned but not taken as of last check - confirm before logging</t>
        </is>
      </c>
    </row>
    <row r="17">
      <c r="A17" s="4" t="n">
        <v>46271</v>
      </c>
      <c r="B17" s="5" t="inlineStr">
        <is>
          <t>Breakfast</t>
        </is>
      </c>
      <c r="C17" s="6" t="inlineStr">
        <is>
          <t>2 maida porotta + kadala curry</t>
        </is>
      </c>
      <c r="D17" s="7" t="n">
        <v>520</v>
      </c>
      <c r="E17" s="7" t="n">
        <v>800</v>
      </c>
      <c r="F17" s="8">
        <f>AVERAGE(D17:E17)</f>
        <v/>
      </c>
      <c r="G17" s="9" t="n">
        <v>15</v>
      </c>
      <c r="H17" s="9" t="n">
        <v>21</v>
      </c>
      <c r="I17" s="10">
        <f>AVERAGE(G17:H17)</f>
        <v/>
      </c>
      <c r="J17" s="9" t="n">
        <v>23</v>
      </c>
      <c r="K17" s="9" t="n">
        <v>38</v>
      </c>
      <c r="L17" s="10">
        <f>AVERAGE(J17:K17)</f>
        <v/>
      </c>
      <c r="M17" s="5" t="inlineStr">
        <is>
          <t>logged</t>
        </is>
      </c>
      <c r="N17" s="6" t="inlineStr">
        <is>
          <t>Ate 2 of the 3 served - deliberately cut one for calories; costed identically to Day 1 dinner</t>
        </is>
      </c>
    </row>
    <row r="18">
      <c r="A18" s="4" t="n">
        <v>46271</v>
      </c>
      <c r="B18" s="5" t="inlineStr">
        <is>
          <t>Dinner</t>
        </is>
      </c>
      <c r="C18" s="6" t="inlineStr">
        <is>
          <t>Honest Bowl - Tofu Delight Bowl</t>
        </is>
      </c>
      <c r="D18" s="7" t="n">
        <v>420</v>
      </c>
      <c r="E18" s="7" t="n">
        <v>560</v>
      </c>
      <c r="F18" s="8">
        <f>AVERAGE(D18:E18)</f>
        <v/>
      </c>
      <c r="G18" s="9" t="n">
        <v>18</v>
      </c>
      <c r="H18" s="9" t="n">
        <v>22</v>
      </c>
      <c r="I18" s="10">
        <f>AVERAGE(G18:H18)</f>
        <v/>
      </c>
      <c r="J18" s="9" t="n">
        <v>15</v>
      </c>
      <c r="K18" s="9" t="n">
        <v>25</v>
      </c>
      <c r="L18" s="10">
        <f>AVERAGE(J18:K18)</f>
        <v/>
      </c>
      <c r="M18" s="5" t="inlineStr">
        <is>
          <t>logged</t>
        </is>
      </c>
      <c r="N18" s="6" t="inlineStr">
        <is>
          <t>Menu states 20 g protein; jasmine rice + cajun tofu + grilled eggplant</t>
        </is>
      </c>
    </row>
    <row r="19">
      <c r="A19" s="4" t="n">
        <v>46271</v>
      </c>
      <c r="B19" s="5" t="inlineStr">
        <is>
          <t>Dinner</t>
        </is>
      </c>
      <c r="C19" s="6" t="inlineStr">
        <is>
          <t>Chicken curry (1 takeaway container)</t>
        </is>
      </c>
      <c r="D19" s="7" t="n">
        <v>280</v>
      </c>
      <c r="E19" s="7" t="n">
        <v>420</v>
      </c>
      <c r="F19" s="8">
        <f>AVERAGE(D19:E19)</f>
        <v/>
      </c>
      <c r="G19" s="9" t="n">
        <v>20</v>
      </c>
      <c r="H19" s="9" t="n">
        <v>28</v>
      </c>
      <c r="I19" s="10">
        <f>AVERAGE(G19:H19)</f>
        <v/>
      </c>
      <c r="J19" s="9" t="n">
        <v>16</v>
      </c>
      <c r="K19" s="9" t="n">
        <v>26</v>
      </c>
      <c r="L19" s="10">
        <f>AVERAGE(J19:K19)</f>
        <v/>
      </c>
      <c r="M19" s="5" t="inlineStr">
        <is>
          <t>logged</t>
        </is>
      </c>
      <c r="N19" s="6" t="inlineStr">
        <is>
          <t>Eaten alongside the tofu bowl</t>
        </is>
      </c>
    </row>
    <row r="20">
      <c r="A20" s="4" t="n">
        <v>46271</v>
      </c>
      <c r="B20" s="5" t="inlineStr">
        <is>
          <t>Lunch</t>
        </is>
      </c>
      <c r="C20" s="6" t="inlineStr">
        <is>
          <t>Honest Bowl - Grilled Chicken and Rice Bowl</t>
        </is>
      </c>
      <c r="D20" s="7" t="n">
        <v>550</v>
      </c>
      <c r="E20" s="7" t="n">
        <v>710</v>
      </c>
      <c r="F20" s="8">
        <f>AVERAGE(D20:E20)</f>
        <v/>
      </c>
      <c r="G20" s="9" t="n">
        <v>42</v>
      </c>
      <c r="H20" s="9" t="n">
        <v>48</v>
      </c>
      <c r="I20" s="10">
        <f>AVERAGE(G20:H20)</f>
        <v/>
      </c>
      <c r="J20" s="9" t="n">
        <v>9</v>
      </c>
      <c r="K20" s="9" t="n">
        <v>18</v>
      </c>
      <c r="L20" s="10">
        <f>AVERAGE(J20:K20)</f>
        <v/>
      </c>
      <c r="M20" s="5" t="inlineStr">
        <is>
          <t>logged</t>
        </is>
      </c>
      <c r="N20" s="6" t="inlineStr">
        <is>
          <t>Menu states 42 g protein; chicken + jasmine rice + sweet potato</t>
        </is>
      </c>
    </row>
    <row r="21">
      <c r="A21" s="4" t="n">
        <v>46271</v>
      </c>
      <c r="B21" s="5" t="inlineStr">
        <is>
          <t>Snack</t>
        </is>
      </c>
      <c r="C21" s="6" t="inlineStr">
        <is>
          <t>Fresh orange juice (~350-450 ml) - no added sugar</t>
        </is>
      </c>
      <c r="D21" s="7" t="n">
        <v>155</v>
      </c>
      <c r="E21" s="7" t="n">
        <v>205</v>
      </c>
      <c r="F21" s="8">
        <f>AVERAGE(D21:E21)</f>
        <v/>
      </c>
      <c r="G21" s="9" t="n">
        <v>2</v>
      </c>
      <c r="H21" s="9" t="n">
        <v>3</v>
      </c>
      <c r="I21" s="10">
        <f>AVERAGE(G21:H21)</f>
        <v/>
      </c>
      <c r="J21" s="9" t="n">
        <v>0</v>
      </c>
      <c r="K21" s="9" t="n">
        <v>0.5</v>
      </c>
      <c r="L21" s="10">
        <f>AVERAGE(J21:K21)</f>
        <v/>
      </c>
      <c r="M21" s="5" t="inlineStr">
        <is>
          <t>logged</t>
        </is>
      </c>
      <c r="N21" s="6" t="inlineStr">
        <is>
          <t>Second juice in three days; ~32-40 g natural sugar</t>
        </is>
      </c>
    </row>
    <row r="22">
      <c r="A22" s="4" t="n">
        <v>46272</v>
      </c>
      <c r="B22" s="5" t="inlineStr">
        <is>
          <t>Breakfast</t>
        </is>
      </c>
      <c r="C22" s="6" t="inlineStr">
        <is>
          <t>2 appam + potato curry (bhaji)</t>
        </is>
      </c>
      <c r="D22" s="7" t="n">
        <v>390</v>
      </c>
      <c r="E22" s="7" t="n">
        <v>520</v>
      </c>
      <c r="F22" s="8">
        <f>AVERAGE(D22:E22)</f>
        <v/>
      </c>
      <c r="G22" s="9" t="n">
        <v>8</v>
      </c>
      <c r="H22" s="9" t="n">
        <v>11</v>
      </c>
      <c r="I22" s="10">
        <f>AVERAGE(G22:H22)</f>
        <v/>
      </c>
      <c r="J22" s="9" t="n">
        <v>10</v>
      </c>
      <c r="K22" s="9" t="n">
        <v>18</v>
      </c>
      <c r="L22" s="10">
        <f>AVERAGE(J22:K22)</f>
        <v/>
      </c>
      <c r="M22" s="5" t="inlineStr">
        <is>
          <t>logged</t>
        </is>
      </c>
      <c r="N22" s="6" t="inlineStr">
        <is>
          <t>Lightest breakfast in the log by calories; fourth straight breakfast under 20 g protein</t>
        </is>
      </c>
    </row>
    <row r="23">
      <c r="A23" s="4" t="n">
        <v>46272</v>
      </c>
      <c r="B23" s="5" t="inlineStr">
        <is>
          <t>Dinner</t>
        </is>
      </c>
      <c r="C23" s="6" t="inlineStr">
        <is>
          <t>Chicken curry + 1 chapati</t>
        </is>
      </c>
      <c r="D23" s="7" t="n">
        <v>380</v>
      </c>
      <c r="E23" s="7" t="n">
        <v>550</v>
      </c>
      <c r="F23" s="8">
        <f>AVERAGE(D23:E23)</f>
        <v/>
      </c>
      <c r="G23" s="9" t="n">
        <v>23</v>
      </c>
      <c r="H23" s="9" t="n">
        <v>32</v>
      </c>
      <c r="I23" s="10">
        <f>AVERAGE(G23:H23)</f>
        <v/>
      </c>
      <c r="J23" s="9" t="n">
        <v>18</v>
      </c>
      <c r="K23" s="9" t="n">
        <v>30</v>
      </c>
      <c r="L23" s="10">
        <f>AVERAGE(J23:K23)</f>
        <v/>
      </c>
      <c r="M23" s="5" t="inlineStr">
        <is>
          <t>logged</t>
        </is>
      </c>
      <c r="N23" s="6" t="inlineStr">
        <is>
          <t>Mess Monday dinner; took one chapati rather than two</t>
        </is>
      </c>
    </row>
    <row r="24">
      <c r="A24" s="4" t="n">
        <v>46272</v>
      </c>
      <c r="B24" s="5" t="inlineStr">
        <is>
          <t>Lunch</t>
        </is>
      </c>
      <c r="C24" s="6" t="inlineStr">
        <is>
          <t>Mess meals plate (rice halved): rice, 2 boiled eggs, 1 fried fish, sambar, green peas, buttermilk, veg curry, fish curry</t>
        </is>
      </c>
      <c r="D24" s="7" t="n">
        <v>790</v>
      </c>
      <c r="E24" s="7" t="n">
        <v>1100</v>
      </c>
      <c r="F24" s="8">
        <f>AVERAGE(D24:E24)</f>
        <v/>
      </c>
      <c r="G24" s="9" t="n">
        <v>37</v>
      </c>
      <c r="H24" s="9" t="n">
        <v>51</v>
      </c>
      <c r="I24" s="10">
        <f>AVERAGE(G24:H24)</f>
        <v/>
      </c>
      <c r="J24" s="9" t="n">
        <v>28</v>
      </c>
      <c r="K24" s="9" t="n">
        <v>48</v>
      </c>
      <c r="L24" s="10">
        <f>AVERAGE(J24:K24)</f>
        <v/>
      </c>
      <c r="M24" s="5" t="inlineStr">
        <is>
          <t>logged</t>
        </is>
      </c>
      <c r="N24" s="6" t="inlineStr">
        <is>
          <t>Rice was already the half portion - both levers pulled. Highest-protein single meal in the log</t>
        </is>
      </c>
    </row>
    <row r="25">
      <c r="A25" s="4" t="n">
        <v>46272</v>
      </c>
      <c r="B25" s="5" t="inlineStr">
        <is>
          <t>Snack</t>
        </is>
      </c>
      <c r="C25" s="6" t="inlineStr">
        <is>
          <t>Black coffee + 1 whey scoop</t>
        </is>
      </c>
      <c r="D25" s="7" t="n">
        <v>100</v>
      </c>
      <c r="E25" s="7" t="n">
        <v>130</v>
      </c>
      <c r="F25" s="8">
        <f>AVERAGE(D25:E25)</f>
        <v/>
      </c>
      <c r="G25" s="9" t="n">
        <v>20</v>
      </c>
      <c r="H25" s="9" t="n">
        <v>25</v>
      </c>
      <c r="I25" s="10">
        <f>AVERAGE(G25:H25)</f>
        <v/>
      </c>
      <c r="J25" s="9" t="n">
        <v>1</v>
      </c>
      <c r="K25" s="9" t="n">
        <v>3</v>
      </c>
      <c r="L25" s="10">
        <f>AVERAGE(J25:K25)</f>
        <v/>
      </c>
      <c r="M25" s="5" t="inlineStr">
        <is>
          <t>logged</t>
        </is>
      </c>
      <c r="N25" s="6" t="inlineStr"/>
    </row>
    <row r="26">
      <c r="A26" s="4" t="n">
        <v>46272</v>
      </c>
      <c r="B26" s="5" t="inlineStr">
        <is>
          <t>Snack</t>
        </is>
      </c>
      <c r="C26" s="6" t="inlineStr">
        <is>
          <t>Sweet melon (2 wedges)</t>
        </is>
      </c>
      <c r="D26" s="7" t="n">
        <v>70</v>
      </c>
      <c r="E26" s="7" t="n">
        <v>110</v>
      </c>
      <c r="F26" s="8">
        <f>AVERAGE(D26:E26)</f>
        <v/>
      </c>
      <c r="G26" s="9" t="n">
        <v>1</v>
      </c>
      <c r="H26" s="9" t="n">
        <v>2</v>
      </c>
      <c r="I26" s="10">
        <f>AVERAGE(G26:H26)</f>
        <v/>
      </c>
      <c r="J26" s="9" t="n">
        <v>0</v>
      </c>
      <c r="K26" s="9" t="n">
        <v>1</v>
      </c>
      <c r="L26" s="10">
        <f>AVERAGE(J26:K26)</f>
        <v/>
      </c>
      <c r="M26" s="5" t="inlineStr">
        <is>
          <t>logged</t>
        </is>
      </c>
      <c r="N26" s="6" t="inlineStr">
        <is>
          <t>Whole fruit - fibre intact; second wedge added</t>
        </is>
      </c>
    </row>
    <row r="27">
      <c r="A27" s="4" t="n">
        <v>46272</v>
      </c>
      <c r="B27" s="5" t="inlineStr">
        <is>
          <t>Snack</t>
        </is>
      </c>
      <c r="C27" s="6" t="inlineStr">
        <is>
          <t>2 boiled eggs (5pm)</t>
        </is>
      </c>
      <c r="D27" s="7" t="n">
        <v>140</v>
      </c>
      <c r="E27" s="7" t="n">
        <v>156</v>
      </c>
      <c r="F27" s="8">
        <f>AVERAGE(D27:E27)</f>
        <v/>
      </c>
      <c r="G27" s="9" t="n">
        <v>12</v>
      </c>
      <c r="H27" s="9" t="n">
        <v>13</v>
      </c>
      <c r="I27" s="10">
        <f>AVERAGE(G27:H27)</f>
        <v/>
      </c>
      <c r="J27" s="9" t="n">
        <v>10</v>
      </c>
      <c r="K27" s="9" t="n">
        <v>11</v>
      </c>
      <c r="L27" s="10">
        <f>AVERAGE(J27:K27)</f>
        <v/>
      </c>
      <c r="M27" s="5" t="inlineStr">
        <is>
          <t>logged</t>
        </is>
      </c>
      <c r="N27" s="6" t="inlineStr">
        <is>
          <t>Second egg serving of the day - four eggs total</t>
        </is>
      </c>
    </row>
    <row r="28">
      <c r="A28" s="4" t="n">
        <v>46272</v>
      </c>
      <c r="B28" s="5" t="inlineStr">
        <is>
          <t>Snack</t>
        </is>
      </c>
      <c r="C28" s="6" t="inlineStr">
        <is>
          <t>Red grapes (~100 g)</t>
        </is>
      </c>
      <c r="D28" s="7" t="n">
        <v>60</v>
      </c>
      <c r="E28" s="7" t="n">
        <v>75</v>
      </c>
      <c r="F28" s="8">
        <f>AVERAGE(D28:E28)</f>
        <v/>
      </c>
      <c r="G28" s="9" t="n">
        <v>0.5</v>
      </c>
      <c r="H28" s="9" t="n">
        <v>0.7</v>
      </c>
      <c r="I28" s="10">
        <f>AVERAGE(G28:H28)</f>
        <v/>
      </c>
      <c r="J28" s="9" t="n">
        <v>0</v>
      </c>
      <c r="K28" s="9" t="n">
        <v>0.5</v>
      </c>
      <c r="L28" s="10">
        <f>AVERAGE(J28:K28)</f>
        <v/>
      </c>
      <c r="M28" s="5" t="inlineStr">
        <is>
          <t>logged</t>
        </is>
      </c>
      <c r="N28" s="6" t="inlineStr">
        <is>
          <t>Portioned into a box rather than eaten from the bunch; some left over</t>
        </is>
      </c>
    </row>
    <row r="29">
      <c r="A29" s="4" t="n">
        <v>46272</v>
      </c>
      <c r="B29" s="5" t="inlineStr">
        <is>
          <t>Snack</t>
        </is>
      </c>
      <c r="C29" s="6" t="inlineStr">
        <is>
          <t>Chatti pathiri chicken (1 slice)</t>
        </is>
      </c>
      <c r="D29" s="7" t="n">
        <v>230</v>
      </c>
      <c r="E29" s="7" t="n">
        <v>320</v>
      </c>
      <c r="F29" s="8">
        <f>AVERAGE(D29:E29)</f>
        <v/>
      </c>
      <c r="G29" s="9" t="n">
        <v>10</v>
      </c>
      <c r="H29" s="9" t="n">
        <v>14</v>
      </c>
      <c r="I29" s="10">
        <f>AVERAGE(G29:H29)</f>
        <v/>
      </c>
      <c r="J29" s="9" t="n">
        <v>12</v>
      </c>
      <c r="K29" s="9" t="n">
        <v>18</v>
      </c>
      <c r="L29" s="10">
        <f>AVERAGE(J29:K29)</f>
        <v/>
      </c>
      <c r="M29" s="5" t="inlineStr">
        <is>
          <t>logged</t>
        </is>
      </c>
      <c r="N29" s="6" t="inlineStr">
        <is>
          <t>Before dinner. Slice count assumed 1 - double if it was 2</t>
        </is>
      </c>
    </row>
    <row r="30">
      <c r="A30" s="4" t="n">
        <v>46273</v>
      </c>
      <c r="B30" s="5" t="inlineStr">
        <is>
          <t>Breakfast</t>
        </is>
      </c>
      <c r="C30" s="6" t="inlineStr">
        <is>
          <t>Puttu + kadala curry</t>
        </is>
      </c>
      <c r="D30" s="7" t="n">
        <v>420</v>
      </c>
      <c r="E30" s="7" t="n">
        <v>600</v>
      </c>
      <c r="F30" s="8">
        <f>AVERAGE(D30:E30)</f>
        <v/>
      </c>
      <c r="G30" s="9" t="n">
        <v>12</v>
      </c>
      <c r="H30" s="9" t="n">
        <v>16</v>
      </c>
      <c r="I30" s="10">
        <f>AVERAGE(G30:H30)</f>
        <v/>
      </c>
      <c r="J30" s="9" t="n">
        <v>12</v>
      </c>
      <c r="K30" s="9" t="n">
        <v>19</v>
      </c>
      <c r="L30" s="10">
        <f>AVERAGE(J30:K30)</f>
        <v/>
      </c>
      <c r="M30" s="5" t="inlineStr">
        <is>
          <t>logged</t>
        </is>
      </c>
      <c r="N30" s="6" t="inlineStr">
        <is>
          <t>Mess served puttu rather than the Tuesday masala dosa on the menu</t>
        </is>
      </c>
    </row>
    <row r="31">
      <c r="A31" s="4" t="n">
        <v>46273</v>
      </c>
      <c r="B31" s="5" t="inlineStr">
        <is>
          <t>Dinner</t>
        </is>
      </c>
      <c r="C31" s="6" t="inlineStr">
        <is>
          <t>2 chapati + green peas curry + 2 boiled eggs</t>
        </is>
      </c>
      <c r="D31" s="7" t="n">
        <v>520</v>
      </c>
      <c r="E31" s="7" t="n">
        <v>676</v>
      </c>
      <c r="F31" s="8">
        <f>AVERAGE(D31:E31)</f>
        <v/>
      </c>
      <c r="G31" s="9" t="n">
        <v>26</v>
      </c>
      <c r="H31" s="9" t="n">
        <v>33</v>
      </c>
      <c r="I31" s="10">
        <f>AVERAGE(G31:H31)</f>
        <v/>
      </c>
      <c r="J31" s="9" t="n">
        <v>22</v>
      </c>
      <c r="K31" s="9" t="n">
        <v>33</v>
      </c>
      <c r="L31" s="10">
        <f>AVERAGE(J31:K31)</f>
        <v/>
      </c>
      <c r="M31" s="5" t="inlineStr">
        <is>
          <t>logged</t>
        </is>
      </c>
      <c r="N31" s="6" t="inlineStr">
        <is>
          <t>Eggs added to the mess dinner as the protein anchor</t>
        </is>
      </c>
    </row>
    <row r="32">
      <c r="A32" s="4" t="n">
        <v>46273</v>
      </c>
      <c r="B32" s="5" t="inlineStr">
        <is>
          <t>Lunch</t>
        </is>
      </c>
      <c r="C32" s="6" t="inlineStr">
        <is>
          <t>2 eggs fried without oil + half container ghee rice + small container chicken curry + curd salad</t>
        </is>
      </c>
      <c r="D32" s="7" t="n">
        <v>565</v>
      </c>
      <c r="E32" s="7" t="n">
        <v>786</v>
      </c>
      <c r="F32" s="8">
        <f>AVERAGE(D32:E32)</f>
        <v/>
      </c>
      <c r="G32" s="9" t="n">
        <v>35</v>
      </c>
      <c r="H32" s="9" t="n">
        <v>45</v>
      </c>
      <c r="I32" s="10">
        <f>AVERAGE(G32:H32)</f>
        <v/>
      </c>
      <c r="J32" s="9" t="n">
        <v>29</v>
      </c>
      <c r="K32" s="9" t="n">
        <v>44</v>
      </c>
      <c r="L32" s="10">
        <f>AVERAGE(J32:K32)</f>
        <v/>
      </c>
      <c r="M32" s="5" t="inlineStr">
        <is>
          <t>logged</t>
        </is>
      </c>
      <c r="N32" s="6" t="inlineStr">
        <is>
          <t>Eggs dry-fried with pepper and salt; rice halved by the user</t>
        </is>
      </c>
    </row>
    <row r="33">
      <c r="A33" s="4" t="n">
        <v>46273</v>
      </c>
      <c r="B33" s="5" t="inlineStr">
        <is>
          <t>Snack</t>
        </is>
      </c>
      <c r="C33" s="6" t="inlineStr">
        <is>
          <t>Black coffee + 1 whey scoop</t>
        </is>
      </c>
      <c r="D33" s="7" t="n">
        <v>100</v>
      </c>
      <c r="E33" s="7" t="n">
        <v>130</v>
      </c>
      <c r="F33" s="8">
        <f>AVERAGE(D33:E33)</f>
        <v/>
      </c>
      <c r="G33" s="9" t="n">
        <v>20</v>
      </c>
      <c r="H33" s="9" t="n">
        <v>25</v>
      </c>
      <c r="I33" s="10">
        <f>AVERAGE(G33:H33)</f>
        <v/>
      </c>
      <c r="J33" s="9" t="n">
        <v>1</v>
      </c>
      <c r="K33" s="9" t="n">
        <v>3</v>
      </c>
      <c r="L33" s="10">
        <f>AVERAGE(J33:K33)</f>
        <v/>
      </c>
      <c r="M33" s="5" t="inlineStr">
        <is>
          <t>logged</t>
        </is>
      </c>
      <c r="N33" s="6" t="inlineStr">
        <is>
          <t>Scoop 1 of the 3 planned for today</t>
        </is>
      </c>
    </row>
    <row r="34">
      <c r="A34" s="4" t="n">
        <v>46273</v>
      </c>
      <c r="B34" s="5" t="inlineStr">
        <is>
          <t>Snack</t>
        </is>
      </c>
      <c r="C34" s="6" t="inlineStr">
        <is>
          <t>Coca-Cola Zero Sugar (245 ml)</t>
        </is>
      </c>
      <c r="D34" s="7" t="n">
        <v>0</v>
      </c>
      <c r="E34" s="7" t="n">
        <v>2</v>
      </c>
      <c r="F34" s="8">
        <f>AVERAGE(D34:E34)</f>
        <v/>
      </c>
      <c r="G34" s="9" t="n">
        <v>0</v>
      </c>
      <c r="H34" s="9" t="n">
        <v>0</v>
      </c>
      <c r="I34" s="10">
        <f>AVERAGE(G34:H34)</f>
        <v/>
      </c>
      <c r="J34" s="9" t="n">
        <v>0</v>
      </c>
      <c r="K34" s="9" t="n">
        <v>0</v>
      </c>
      <c r="L34" s="10">
        <f>AVERAGE(J34:K34)</f>
        <v/>
      </c>
      <c r="M34" s="5" t="inlineStr">
        <is>
          <t>logged</t>
        </is>
      </c>
      <c r="N34" s="6" t="inlineStr">
        <is>
          <t>Genuinely zero calorie</t>
        </is>
      </c>
    </row>
    <row r="35">
      <c r="A35" s="4" t="n">
        <v>46273</v>
      </c>
      <c r="B35" s="5" t="inlineStr">
        <is>
          <t>Snack</t>
        </is>
      </c>
      <c r="C35" s="6" t="inlineStr">
        <is>
          <t>1 whey scoop + water</t>
        </is>
      </c>
      <c r="D35" s="7" t="n">
        <v>100</v>
      </c>
      <c r="E35" s="7" t="n">
        <v>120</v>
      </c>
      <c r="F35" s="8">
        <f>AVERAGE(D35:E35)</f>
        <v/>
      </c>
      <c r="G35" s="9" t="n">
        <v>20</v>
      </c>
      <c r="H35" s="9" t="n">
        <v>25</v>
      </c>
      <c r="I35" s="10">
        <f>AVERAGE(G35:H35)</f>
        <v/>
      </c>
      <c r="J35" s="9" t="n">
        <v>1</v>
      </c>
      <c r="K35" s="9" t="n">
        <v>2</v>
      </c>
      <c r="L35" s="10">
        <f>AVERAGE(J35:K35)</f>
        <v/>
      </c>
      <c r="M35" s="5" t="inlineStr">
        <is>
          <t>logged</t>
        </is>
      </c>
      <c r="N35" s="6" t="inlineStr">
        <is>
          <t>Closing scoop for the day</t>
        </is>
      </c>
    </row>
    <row r="36">
      <c r="A36" s="4" t="n">
        <v>46274</v>
      </c>
      <c r="B36" s="5" t="inlineStr">
        <is>
          <t>Breakfast</t>
        </is>
      </c>
      <c r="C36" s="6" t="inlineStr">
        <is>
          <t>1 dosa + egg roast (1 whole egg)</t>
        </is>
      </c>
      <c r="D36" s="7" t="n">
        <v>360</v>
      </c>
      <c r="E36" s="7" t="n">
        <v>490</v>
      </c>
      <c r="F36" s="8">
        <f>AVERAGE(D36:E36)</f>
        <v/>
      </c>
      <c r="G36" s="9" t="n">
        <v>10</v>
      </c>
      <c r="H36" s="9" t="n">
        <v>14</v>
      </c>
      <c r="I36" s="10">
        <f>AVERAGE(G36:H36)</f>
        <v/>
      </c>
      <c r="J36" s="9" t="n">
        <v>17</v>
      </c>
      <c r="K36" s="9" t="n">
        <v>28</v>
      </c>
      <c r="L36" s="10">
        <f>AVERAGE(J36:K36)</f>
        <v/>
      </c>
      <c r="M36" s="5" t="inlineStr">
        <is>
          <t>logged</t>
        </is>
      </c>
      <c r="N36" s="6" t="inlineStr">
        <is>
          <t>Took a dosa instead of the menu's poratta - the Wednesday cut</t>
        </is>
      </c>
    </row>
    <row r="37">
      <c r="A37" s="4" t="n">
        <v>46274</v>
      </c>
      <c r="B37" s="5" t="inlineStr">
        <is>
          <t>Dinner</t>
        </is>
      </c>
      <c r="C37" s="6" t="inlineStr">
        <is>
          <t>2 chapati + chicken curry</t>
        </is>
      </c>
      <c r="D37" s="7" t="n">
        <v>480</v>
      </c>
      <c r="E37" s="7" t="n">
        <v>680</v>
      </c>
      <c r="F37" s="8">
        <f>AVERAGE(D37:E37)</f>
        <v/>
      </c>
      <c r="G37" s="9" t="n">
        <v>26</v>
      </c>
      <c r="H37" s="9" t="n">
        <v>36</v>
      </c>
      <c r="I37" s="10">
        <f>AVERAGE(G37:H37)</f>
        <v/>
      </c>
      <c r="J37" s="9" t="n">
        <v>20</v>
      </c>
      <c r="K37" s="9" t="n">
        <v>34</v>
      </c>
      <c r="L37" s="10">
        <f>AVERAGE(J37:K37)</f>
        <v/>
      </c>
      <c r="M37" s="5" t="inlineStr">
        <is>
          <t>logged</t>
        </is>
      </c>
      <c r="N37" s="6" t="inlineStr">
        <is>
          <t>Mess Wednesday dinner</t>
        </is>
      </c>
    </row>
    <row r="38">
      <c r="A38" s="4" t="n">
        <v>46274</v>
      </c>
      <c r="B38" s="5" t="inlineStr">
        <is>
          <t>Drink</t>
        </is>
      </c>
      <c r="C38" s="6" t="inlineStr">
        <is>
          <t>Coca-Cola Zero Sugar (245 ml)</t>
        </is>
      </c>
      <c r="D38" s="7" t="n">
        <v>0</v>
      </c>
      <c r="E38" s="7" t="n">
        <v>2</v>
      </c>
      <c r="F38" s="8">
        <f>AVERAGE(D38:E38)</f>
        <v/>
      </c>
      <c r="G38" s="9" t="n">
        <v>0</v>
      </c>
      <c r="H38" s="9" t="n">
        <v>0</v>
      </c>
      <c r="I38" s="10">
        <f>AVERAGE(G38:H38)</f>
        <v/>
      </c>
      <c r="J38" s="9" t="n">
        <v>0</v>
      </c>
      <c r="K38" s="9" t="n">
        <v>0</v>
      </c>
      <c r="L38" s="10">
        <f>AVERAGE(J38:K38)</f>
        <v/>
      </c>
      <c r="M38" s="5" t="inlineStr">
        <is>
          <t>logged</t>
        </is>
      </c>
      <c r="N38" s="6" t="inlineStr">
        <is>
          <t>Genuinely zero calorie</t>
        </is>
      </c>
    </row>
    <row r="39">
      <c r="A39" s="4" t="n">
        <v>46274</v>
      </c>
      <c r="B39" s="5" t="inlineStr">
        <is>
          <t>Lunch</t>
        </is>
      </c>
      <c r="C39" s="6" t="inlineStr">
        <is>
          <t>Mess meals plate (rice halved) + 2 boiled eggs + 1-egg omelette + veg curry, coconut thoran, kadala-veg thoran, chutney</t>
        </is>
      </c>
      <c r="D39" s="7" t="n">
        <v>760</v>
      </c>
      <c r="E39" s="7" t="n">
        <v>1060</v>
      </c>
      <c r="F39" s="8">
        <f>AVERAGE(D39:E39)</f>
        <v/>
      </c>
      <c r="G39" s="9" t="n">
        <v>33</v>
      </c>
      <c r="H39" s="9" t="n">
        <v>44</v>
      </c>
      <c r="I39" s="10">
        <f>AVERAGE(G39:H39)</f>
        <v/>
      </c>
      <c r="J39" s="9" t="n">
        <v>31</v>
      </c>
      <c r="K39" s="9" t="n">
        <v>48</v>
      </c>
      <c r="L39" s="10">
        <f>AVERAGE(J39:K39)</f>
        <v/>
      </c>
      <c r="M39" s="5" t="inlineStr">
        <is>
          <t>logged</t>
        </is>
      </c>
      <c r="N39" s="6" t="inlineStr">
        <is>
          <t>Both levers again - rice halved and three eggs' worth of protein added. Fat nudged up for the coconut thoran after a clearer photo</t>
        </is>
      </c>
    </row>
    <row r="40">
      <c r="A40" s="4" t="n">
        <v>46274</v>
      </c>
      <c r="B40" s="5" t="inlineStr">
        <is>
          <t>Snack</t>
        </is>
      </c>
      <c r="C40" s="6" t="inlineStr">
        <is>
          <t>Black coffee + 1 whey scoop</t>
        </is>
      </c>
      <c r="D40" s="7" t="n">
        <v>100</v>
      </c>
      <c r="E40" s="7" t="n">
        <v>130</v>
      </c>
      <c r="F40" s="8">
        <f>AVERAGE(D40:E40)</f>
        <v/>
      </c>
      <c r="G40" s="9" t="n">
        <v>20</v>
      </c>
      <c r="H40" s="9" t="n">
        <v>25</v>
      </c>
      <c r="I40" s="10">
        <f>AVERAGE(G40:H40)</f>
        <v/>
      </c>
      <c r="J40" s="9" t="n">
        <v>1</v>
      </c>
      <c r="K40" s="9" t="n">
        <v>3</v>
      </c>
      <c r="L40" s="10">
        <f>AVERAGE(J40:K40)</f>
        <v/>
      </c>
      <c r="M40" s="5" t="inlineStr">
        <is>
          <t>logged</t>
        </is>
      </c>
      <c r="N40" s="6" t="inlineStr">
        <is>
          <t>Scoop 1 of the 3 planned for today</t>
        </is>
      </c>
    </row>
    <row r="41">
      <c r="A41" s="4" t="n">
        <v>46274</v>
      </c>
      <c r="B41" s="5" t="inlineStr">
        <is>
          <t>Snack</t>
        </is>
      </c>
      <c r="C41" s="6" t="inlineStr">
        <is>
          <t>Black coffee + 1 whey scoop</t>
        </is>
      </c>
      <c r="D41" s="7" t="n">
        <v>100</v>
      </c>
      <c r="E41" s="7" t="n">
        <v>130</v>
      </c>
      <c r="F41" s="8">
        <f>AVERAGE(D41:E41)</f>
        <v/>
      </c>
      <c r="G41" s="9" t="n">
        <v>20</v>
      </c>
      <c r="H41" s="9" t="n">
        <v>25</v>
      </c>
      <c r="I41" s="10">
        <f>AVERAGE(G41:H41)</f>
        <v/>
      </c>
      <c r="J41" s="9" t="n">
        <v>1</v>
      </c>
      <c r="K41" s="9" t="n">
        <v>3</v>
      </c>
      <c r="L41" s="10">
        <f>AVERAGE(J41:K41)</f>
        <v/>
      </c>
      <c r="M41" s="5" t="inlineStr">
        <is>
          <t>logged</t>
        </is>
      </c>
      <c r="N41" s="6" t="inlineStr">
        <is>
          <t>Scoop 2</t>
        </is>
      </c>
    </row>
    <row r="42">
      <c r="A42" s="4" t="n">
        <v>46274</v>
      </c>
      <c r="B42" s="5" t="inlineStr">
        <is>
          <t>Snack</t>
        </is>
      </c>
      <c r="C42" s="6" t="inlineStr">
        <is>
          <t>2 boiled eggs</t>
        </is>
      </c>
      <c r="D42" s="7" t="n">
        <v>140</v>
      </c>
      <c r="E42" s="7" t="n">
        <v>156</v>
      </c>
      <c r="F42" s="8">
        <f>AVERAGE(D42:E42)</f>
        <v/>
      </c>
      <c r="G42" s="9" t="n">
        <v>12</v>
      </c>
      <c r="H42" s="9" t="n">
        <v>13</v>
      </c>
      <c r="I42" s="10">
        <f>AVERAGE(G42:H42)</f>
        <v/>
      </c>
      <c r="J42" s="9" t="n">
        <v>10</v>
      </c>
      <c r="K42" s="9" t="n">
        <v>11</v>
      </c>
      <c r="L42" s="10">
        <f>AVERAGE(J42:K42)</f>
        <v/>
      </c>
      <c r="M42" s="5" t="inlineStr">
        <is>
          <t>logged</t>
        </is>
      </c>
      <c r="N42" s="6" t="inlineStr">
        <is>
          <t>Eggs 5 and 6 of the day</t>
        </is>
      </c>
    </row>
    <row r="43">
      <c r="A43" s="4" t="n">
        <v>46275</v>
      </c>
      <c r="B43" s="5" t="inlineStr">
        <is>
          <t>Breakfast</t>
        </is>
      </c>
      <c r="C43" s="6" t="inlineStr">
        <is>
          <t>1 dosa + sambar + red chutney (coconut chutney skipped)</t>
        </is>
      </c>
      <c r="D43" s="7" t="n">
        <v>350</v>
      </c>
      <c r="E43" s="7" t="n">
        <v>480</v>
      </c>
      <c r="F43" s="8">
        <f>AVERAGE(D43:E43)</f>
        <v/>
      </c>
      <c r="G43" s="9" t="n">
        <v>8</v>
      </c>
      <c r="H43" s="9" t="n">
        <v>12</v>
      </c>
      <c r="I43" s="10">
        <f>AVERAGE(G43:H43)</f>
        <v/>
      </c>
      <c r="J43" s="9" t="n">
        <v>12</v>
      </c>
      <c r="K43" s="9" t="n">
        <v>25</v>
      </c>
      <c r="L43" s="10">
        <f>AVERAGE(J43:K43)</f>
        <v/>
      </c>
      <c r="M43" s="5" t="inlineStr">
        <is>
          <t>logged</t>
        </is>
      </c>
      <c r="N43" s="6" t="inlineStr">
        <is>
          <t>Coconut chutney skipped again - saves ~100 kcal and ~9 g fat</t>
        </is>
      </c>
    </row>
    <row r="44">
      <c r="A44" s="4" t="n">
        <v>46275</v>
      </c>
      <c r="B44" s="5" t="inlineStr">
        <is>
          <t>Dinner</t>
        </is>
      </c>
      <c r="C44" s="6" t="inlineStr">
        <is>
          <t>2 chapati + gobi chilli</t>
        </is>
      </c>
      <c r="D44" s="7" t="n">
        <v>380</v>
      </c>
      <c r="E44" s="7" t="n">
        <v>540</v>
      </c>
      <c r="F44" s="8">
        <f>AVERAGE(D44:E44)</f>
        <v/>
      </c>
      <c r="G44" s="9" t="n">
        <v>10</v>
      </c>
      <c r="H44" s="9" t="n">
        <v>15</v>
      </c>
      <c r="I44" s="10">
        <f>AVERAGE(G44:H44)</f>
        <v/>
      </c>
      <c r="J44" s="9" t="n">
        <v>14</v>
      </c>
      <c r="K44" s="9" t="n">
        <v>26</v>
      </c>
      <c r="L44" s="10">
        <f>AVERAGE(J44:K44)</f>
        <v/>
      </c>
      <c r="M44" s="5" t="inlineStr">
        <is>
          <t>logged</t>
        </is>
      </c>
      <c r="N44" s="6" t="inlineStr">
        <is>
          <t>Mess Thursday dinner; modest gobi portion</t>
        </is>
      </c>
    </row>
    <row r="45">
      <c r="A45" s="4" t="n">
        <v>46275</v>
      </c>
      <c r="B45" s="5" t="inlineStr">
        <is>
          <t>Lunch</t>
        </is>
      </c>
      <c r="C45" s="6" t="inlineStr">
        <is>
          <t>Mess meals plate (rice halved) + matthi taken without the gravy + 2 small fried chicken pieces + coconut chammanthi, thoran, veg curries</t>
        </is>
      </c>
      <c r="D45" s="7" t="n">
        <v>760</v>
      </c>
      <c r="E45" s="7" t="n">
        <v>1150</v>
      </c>
      <c r="F45" s="8">
        <f>AVERAGE(D45:E45)</f>
        <v/>
      </c>
      <c r="G45" s="9" t="n">
        <v>39</v>
      </c>
      <c r="H45" s="9" t="n">
        <v>57</v>
      </c>
      <c r="I45" s="10">
        <f>AVERAGE(G45:H45)</f>
        <v/>
      </c>
      <c r="J45" s="9" t="n">
        <v>28</v>
      </c>
      <c r="K45" s="9" t="n">
        <v>53</v>
      </c>
      <c r="L45" s="10">
        <f>AVERAGE(J45:K45)</f>
        <v/>
      </c>
      <c r="M45" s="5" t="inlineStr">
        <is>
          <t>logged</t>
        </is>
      </c>
      <c r="N45" s="6" t="inlineStr">
        <is>
          <t>Fish lifted out of the curry and the oily gravy left behind; 2 fried chicken pieces on the plate</t>
        </is>
      </c>
    </row>
    <row r="46">
      <c r="A46" s="4" t="n">
        <v>46275</v>
      </c>
      <c r="B46" s="5" t="inlineStr">
        <is>
          <t>Snack</t>
        </is>
      </c>
      <c r="C46" s="6" t="inlineStr">
        <is>
          <t>Black coffee + 1 whey scoop</t>
        </is>
      </c>
      <c r="D46" s="7" t="n">
        <v>100</v>
      </c>
      <c r="E46" s="7" t="n">
        <v>130</v>
      </c>
      <c r="F46" s="8">
        <f>AVERAGE(D46:E46)</f>
        <v/>
      </c>
      <c r="G46" s="9" t="n">
        <v>20</v>
      </c>
      <c r="H46" s="9" t="n">
        <v>25</v>
      </c>
      <c r="I46" s="10">
        <f>AVERAGE(G46:H46)</f>
        <v/>
      </c>
      <c r="J46" s="9" t="n">
        <v>1</v>
      </c>
      <c r="K46" s="9" t="n">
        <v>3</v>
      </c>
      <c r="L46" s="10">
        <f>AVERAGE(J46:K46)</f>
        <v/>
      </c>
      <c r="M46" s="5" t="inlineStr">
        <is>
          <t>logged</t>
        </is>
      </c>
      <c r="N46" s="6" t="inlineStr">
        <is>
          <t>Scoop 1</t>
        </is>
      </c>
    </row>
    <row r="47">
      <c r="A47" s="4" t="n">
        <v>46275</v>
      </c>
      <c r="B47" s="5" t="inlineStr">
        <is>
          <t>Snack</t>
        </is>
      </c>
      <c r="C47" s="6" t="inlineStr">
        <is>
          <t>Chicken roll (breadcrumbed and deep-fried)</t>
        </is>
      </c>
      <c r="D47" s="7" t="n">
        <v>290</v>
      </c>
      <c r="E47" s="7" t="n">
        <v>400</v>
      </c>
      <c r="F47" s="8">
        <f>AVERAGE(D47:E47)</f>
        <v/>
      </c>
      <c r="G47" s="9" t="n">
        <v>10</v>
      </c>
      <c r="H47" s="9" t="n">
        <v>15</v>
      </c>
      <c r="I47" s="10">
        <f>AVERAGE(G47:H47)</f>
        <v/>
      </c>
      <c r="J47" s="9" t="n">
        <v>15</v>
      </c>
      <c r="K47" s="9" t="n">
        <v>23</v>
      </c>
      <c r="L47" s="10">
        <f>AVERAGE(J47:K47)</f>
        <v/>
      </c>
      <c r="M47" s="5" t="inlineStr">
        <is>
          <t>logged</t>
        </is>
      </c>
      <c r="N47" s="6" t="inlineStr">
        <is>
          <t>Revised down on inspection - mostly bread and frying oil</t>
        </is>
      </c>
    </row>
    <row r="48">
      <c r="A48" s="4" t="n">
        <v>46276</v>
      </c>
      <c r="B48" s="5" t="inlineStr">
        <is>
          <t>Breakfast</t>
        </is>
      </c>
      <c r="C48" s="6" t="inlineStr">
        <is>
          <t>2 set dosa + sambar + red chutney (coconut chutney skipped)</t>
        </is>
      </c>
      <c r="D48" s="7" t="n">
        <v>410</v>
      </c>
      <c r="E48" s="7" t="n">
        <v>550</v>
      </c>
      <c r="F48" s="8">
        <f>AVERAGE(D48:E48)</f>
        <v/>
      </c>
      <c r="G48" s="9" t="n">
        <v>10</v>
      </c>
      <c r="H48" s="9" t="n">
        <v>15</v>
      </c>
      <c r="I48" s="10">
        <f>AVERAGE(G48:H48)</f>
        <v/>
      </c>
      <c r="J48" s="9" t="n">
        <v>11</v>
      </c>
      <c r="K48" s="9" t="n">
        <v>24</v>
      </c>
      <c r="L48" s="10">
        <f>AVERAGE(J48:K48)</f>
        <v/>
      </c>
      <c r="M48" s="5" t="inlineStr">
        <is>
          <t>logged</t>
        </is>
      </c>
      <c r="N48" s="6" t="inlineStr">
        <is>
          <t>Coconut chutney skipped again</t>
        </is>
      </c>
    </row>
    <row r="49">
      <c r="A49" s="4" t="n">
        <v>46276</v>
      </c>
      <c r="B49" s="5" t="inlineStr">
        <is>
          <t>Breakfast</t>
        </is>
      </c>
      <c r="C49" s="6" t="inlineStr">
        <is>
          <t>1 egg fried dry with no oil + pepper</t>
        </is>
      </c>
      <c r="D49" s="7" t="n">
        <v>70</v>
      </c>
      <c r="E49" s="7" t="n">
        <v>78</v>
      </c>
      <c r="F49" s="8">
        <f>AVERAGE(D49:E49)</f>
        <v/>
      </c>
      <c r="G49" s="9" t="n">
        <v>6</v>
      </c>
      <c r="H49" s="9" t="n">
        <v>6.5</v>
      </c>
      <c r="I49" s="10">
        <f>AVERAGE(G49:H49)</f>
        <v/>
      </c>
      <c r="J49" s="9" t="n">
        <v>5</v>
      </c>
      <c r="K49" s="9" t="n">
        <v>5.5</v>
      </c>
      <c r="L49" s="10">
        <f>AVERAGE(J49:K49)</f>
        <v/>
      </c>
      <c r="M49" s="5" t="inlineStr">
        <is>
          <t>logged</t>
        </is>
      </c>
      <c r="N49" s="6" t="inlineStr">
        <is>
          <t>Second time cooking eggs dry - saves ~20-25 kcal versus pan oil</t>
        </is>
      </c>
    </row>
    <row r="50">
      <c r="A50" s="4" t="n">
        <v>46276</v>
      </c>
      <c r="B50" s="5" t="inlineStr">
        <is>
          <t>Lunch</t>
        </is>
      </c>
      <c r="C50" s="6" t="inlineStr">
        <is>
          <t>Chicken biriyani with rice halved + 2 chicken pieces + 3 boiled eggs + curd salad</t>
        </is>
      </c>
      <c r="D50" s="7" t="n">
        <v>700</v>
      </c>
      <c r="E50" s="7" t="n">
        <v>954</v>
      </c>
      <c r="F50" s="8">
        <f>AVERAGE(D50:E50)</f>
        <v/>
      </c>
      <c r="G50" s="9" t="n">
        <v>45</v>
      </c>
      <c r="H50" s="9" t="n">
        <v>57</v>
      </c>
      <c r="I50" s="10">
        <f>AVERAGE(G50:H50)</f>
        <v/>
      </c>
      <c r="J50" s="9" t="n">
        <v>35</v>
      </c>
      <c r="K50" s="9" t="n">
        <v>53</v>
      </c>
      <c r="L50" s="10">
        <f>AVERAGE(J50:K50)</f>
        <v/>
      </c>
      <c r="M50" s="5" t="inlineStr">
        <is>
          <t>logged</t>
        </is>
      </c>
      <c r="N50" s="6" t="inlineStr">
        <is>
          <t>Rice halved; 3 eggs added</t>
        </is>
      </c>
    </row>
    <row r="51">
      <c r="A51" s="4" t="n">
        <v>46277</v>
      </c>
      <c r="B51" s="5" t="inlineStr">
        <is>
          <t>Breakfast</t>
        </is>
      </c>
      <c r="C51" s="6" t="inlineStr">
        <is>
          <t>2 set dosa + sambar + red chutney (coconut chutney skipped)</t>
        </is>
      </c>
      <c r="D51" s="7" t="n">
        <v>410</v>
      </c>
      <c r="E51" s="7" t="n">
        <v>550</v>
      </c>
      <c r="F51" s="8">
        <f>AVERAGE(D51:E51)</f>
        <v/>
      </c>
      <c r="G51" s="9" t="n">
        <v>10</v>
      </c>
      <c r="H51" s="9" t="n">
        <v>15</v>
      </c>
      <c r="I51" s="10">
        <f>AVERAGE(G51:H51)</f>
        <v/>
      </c>
      <c r="J51" s="9" t="n">
        <v>11</v>
      </c>
      <c r="K51" s="9" t="n">
        <v>24</v>
      </c>
      <c r="L51" s="10">
        <f>AVERAGE(J51:K51)</f>
        <v/>
      </c>
      <c r="M51" s="5" t="inlineStr">
        <is>
          <t>logged</t>
        </is>
      </c>
      <c r="N51" s="6" t="inlineStr">
        <is>
          <t>Fifth skip of the coconut chutney in nine days</t>
        </is>
      </c>
    </row>
    <row r="52">
      <c r="A52" s="4" t="n">
        <v>46277</v>
      </c>
      <c r="B52" s="5" t="inlineStr">
        <is>
          <t>Dinner</t>
        </is>
      </c>
      <c r="C52" s="6" t="inlineStr">
        <is>
          <t>2 chapati + chicken varutharachathu (gravy poured over)</t>
        </is>
      </c>
      <c r="D52" s="7" t="n">
        <v>460</v>
      </c>
      <c r="E52" s="7" t="n">
        <v>650</v>
      </c>
      <c r="F52" s="8">
        <f>AVERAGE(D52:E52)</f>
        <v/>
      </c>
      <c r="G52" s="9" t="n">
        <v>23</v>
      </c>
      <c r="H52" s="9" t="n">
        <v>32</v>
      </c>
      <c r="I52" s="10">
        <f>AVERAGE(G52:H52)</f>
        <v/>
      </c>
      <c r="J52" s="9" t="n">
        <v>23</v>
      </c>
      <c r="K52" s="9" t="n">
        <v>39</v>
      </c>
      <c r="L52" s="10">
        <f>AVERAGE(J52:K52)</f>
        <v/>
      </c>
      <c r="M52" s="5" t="inlineStr">
        <is>
          <t>logged</t>
        </is>
      </c>
      <c r="N52" s="6" t="inlineStr">
        <is>
          <t>Mess Saturday dinner; whole container poured on rather than the chicken lifted out</t>
        </is>
      </c>
    </row>
    <row r="53">
      <c r="A53" s="4" t="n">
        <v>46277</v>
      </c>
      <c r="B53" s="5" t="inlineStr">
        <is>
          <t>Lunch</t>
        </is>
      </c>
      <c r="C53" s="6" t="inlineStr">
        <is>
          <t>Mess meals plate (rice halved) + 2 boiled eggs + 1 fried fish piece + sambar, curd, veg sides</t>
        </is>
      </c>
      <c r="D53" s="7" t="n">
        <v>665</v>
      </c>
      <c r="E53" s="7" t="n">
        <v>965</v>
      </c>
      <c r="F53" s="8">
        <f>AVERAGE(D53:E53)</f>
        <v/>
      </c>
      <c r="G53" s="9" t="n">
        <v>31.5</v>
      </c>
      <c r="H53" s="9" t="n">
        <v>42.5</v>
      </c>
      <c r="I53" s="10">
        <f>AVERAGE(G53:H53)</f>
        <v/>
      </c>
      <c r="J53" s="9" t="n">
        <v>29</v>
      </c>
      <c r="K53" s="9" t="n">
        <v>50</v>
      </c>
      <c r="L53" s="10">
        <f>AVERAGE(J53:K53)</f>
        <v/>
      </c>
      <c r="M53" s="5" t="inlineStr">
        <is>
          <t>logged</t>
        </is>
      </c>
      <c r="N53" s="6" t="inlineStr">
        <is>
          <t>Rice halved and 2 eggs added - both levers again</t>
        </is>
      </c>
    </row>
    <row r="54">
      <c r="A54" s="4" t="n">
        <v>46277</v>
      </c>
      <c r="B54" s="5" t="inlineStr">
        <is>
          <t>Snack</t>
        </is>
      </c>
      <c r="C54" s="6" t="inlineStr">
        <is>
          <t>2 boiled eggs</t>
        </is>
      </c>
      <c r="D54" s="7" t="n">
        <v>140</v>
      </c>
      <c r="E54" s="7" t="n">
        <v>156</v>
      </c>
      <c r="F54" s="8">
        <f>AVERAGE(D54:E54)</f>
        <v/>
      </c>
      <c r="G54" s="9" t="n">
        <v>12</v>
      </c>
      <c r="H54" s="9" t="n">
        <v>13</v>
      </c>
      <c r="I54" s="10">
        <f>AVERAGE(G54:H54)</f>
        <v/>
      </c>
      <c r="J54" s="9" t="n">
        <v>10</v>
      </c>
      <c r="K54" s="9" t="n">
        <v>11</v>
      </c>
      <c r="L54" s="10">
        <f>AVERAGE(J54:K54)</f>
        <v/>
      </c>
      <c r="M54" s="5" t="inlineStr">
        <is>
          <t>logged</t>
        </is>
      </c>
      <c r="N54" s="6" t="inlineStr">
        <is>
          <t>Eggs 3 and 4 of the day</t>
        </is>
      </c>
    </row>
    <row r="55">
      <c r="A55" s="4" t="n">
        <v>46278</v>
      </c>
      <c r="B55" s="5" t="inlineStr">
        <is>
          <t>Breakfast</t>
        </is>
      </c>
      <c r="C55" s="6" t="inlineStr">
        <is>
          <t>2 wheat porotta + kadala curry</t>
        </is>
      </c>
      <c r="D55" s="7" t="n">
        <v>520</v>
      </c>
      <c r="E55" s="7" t="n">
        <v>750</v>
      </c>
      <c r="F55" s="8">
        <f>AVERAGE(D55:E55)</f>
        <v/>
      </c>
      <c r="G55" s="9" t="n">
        <v>16</v>
      </c>
      <c r="H55" s="9" t="n">
        <v>22</v>
      </c>
      <c r="I55" s="10">
        <f>AVERAGE(G55:H55)</f>
        <v/>
      </c>
      <c r="J55" s="9" t="n">
        <v>20</v>
      </c>
      <c r="K55" s="9" t="n">
        <v>36</v>
      </c>
      <c r="L55" s="10">
        <f>AVERAGE(J55:K55)</f>
        <v/>
      </c>
      <c r="M55" s="5" t="inlineStr">
        <is>
          <t>logged</t>
        </is>
      </c>
      <c r="N55" s="6" t="inlineStr">
        <is>
          <t>Sunday mess breakfast; kadala poured over. A second container in the photo was not identifiable and is not counted</t>
        </is>
      </c>
    </row>
    <row r="56">
      <c r="A56" s="4" t="n">
        <v>46278</v>
      </c>
      <c r="B56" s="5" t="inlineStr">
        <is>
          <t>Dinner</t>
        </is>
      </c>
      <c r="C56" s="6" t="inlineStr">
        <is>
          <t>2 chapati + egg roast (1 egg) + 2 boiled eggs</t>
        </is>
      </c>
      <c r="D56" s="7" t="n">
        <v>540</v>
      </c>
      <c r="E56" s="7" t="n">
        <v>696</v>
      </c>
      <c r="F56" s="8">
        <f>AVERAGE(D56:E56)</f>
        <v/>
      </c>
      <c r="G56" s="9" t="n">
        <v>26</v>
      </c>
      <c r="H56" s="9" t="n">
        <v>31</v>
      </c>
      <c r="I56" s="10">
        <f>AVERAGE(G56:H56)</f>
        <v/>
      </c>
      <c r="J56" s="9" t="n">
        <v>28</v>
      </c>
      <c r="K56" s="9" t="n">
        <v>39</v>
      </c>
      <c r="L56" s="10">
        <f>AVERAGE(J56:K56)</f>
        <v/>
      </c>
      <c r="M56" s="5" t="inlineStr">
        <is>
          <t>logged</t>
        </is>
      </c>
      <c r="N56" s="6" t="inlineStr">
        <is>
          <t>Two extra boiled eggs on the side beyond the mess portion; roast masala visibly oily</t>
        </is>
      </c>
    </row>
    <row r="57">
      <c r="A57" s="4" t="n">
        <v>46278</v>
      </c>
      <c r="B57" s="5" t="inlineStr">
        <is>
          <t>Lunch</t>
        </is>
      </c>
      <c r="C57" s="6" t="inlineStr">
        <is>
          <t>Ghee rice (halved) + chicken curry + curd</t>
        </is>
      </c>
      <c r="D57" s="7" t="n">
        <v>440</v>
      </c>
      <c r="E57" s="7" t="n">
        <v>630</v>
      </c>
      <c r="F57" s="8">
        <f>AVERAGE(D57:E57)</f>
        <v/>
      </c>
      <c r="G57" s="9" t="n">
        <v>21.5</v>
      </c>
      <c r="H57" s="9" t="n">
        <v>29.5</v>
      </c>
      <c r="I57" s="10">
        <f>AVERAGE(G57:H57)</f>
        <v/>
      </c>
      <c r="J57" s="9" t="n">
        <v>18.5</v>
      </c>
      <c r="K57" s="9" t="n">
        <v>31</v>
      </c>
      <c r="L57" s="10">
        <f>AVERAGE(J57:K57)</f>
        <v/>
      </c>
      <c r="M57" s="5" t="inlineStr">
        <is>
          <t>logged</t>
        </is>
      </c>
      <c r="N57" s="6" t="inlineStr">
        <is>
          <t>Rice halved. Curry container photographed near-empty - counted as eaten in full</t>
        </is>
      </c>
    </row>
    <row r="58">
      <c r="A58" s="4" t="n">
        <v>46278</v>
      </c>
      <c r="B58" s="5" t="inlineStr">
        <is>
          <t>Snack</t>
        </is>
      </c>
      <c r="C58" s="6" t="inlineStr">
        <is>
          <t>2 boiled eggs</t>
        </is>
      </c>
      <c r="D58" s="7" t="n">
        <v>140</v>
      </c>
      <c r="E58" s="7" t="n">
        <v>156</v>
      </c>
      <c r="F58" s="8">
        <f>AVERAGE(D58:E58)</f>
        <v/>
      </c>
      <c r="G58" s="9" t="n">
        <v>12</v>
      </c>
      <c r="H58" s="9" t="n">
        <v>13</v>
      </c>
      <c r="I58" s="10">
        <f>AVERAGE(G58:H58)</f>
        <v/>
      </c>
      <c r="J58" s="9" t="n">
        <v>10</v>
      </c>
      <c r="K58" s="9" t="n">
        <v>11</v>
      </c>
      <c r="L58" s="10">
        <f>AVERAGE(J58:K58)</f>
        <v/>
      </c>
      <c r="M58" s="5" t="inlineStr">
        <is>
          <t>logged</t>
        </is>
      </c>
      <c r="N58" s="6" t="inlineStr">
        <is>
          <t>Took the eggs over the fourth scoop</t>
        </is>
      </c>
    </row>
    <row r="59">
      <c r="A59" s="4" t="n">
        <v>46279</v>
      </c>
      <c r="B59" s="5" t="inlineStr">
        <is>
          <t>Breakfast</t>
        </is>
      </c>
      <c r="C59" s="6" t="inlineStr">
        <is>
          <t>Large restaurant dosa + sambar + red chutney (white coconut chutney skipped)</t>
        </is>
      </c>
      <c r="D59" s="7" t="n">
        <v>380</v>
      </c>
      <c r="E59" s="7" t="n">
        <v>590</v>
      </c>
      <c r="F59" s="8">
        <f>AVERAGE(D59:E59)</f>
        <v/>
      </c>
      <c r="G59" s="9" t="n">
        <v>10</v>
      </c>
      <c r="H59" s="9" t="n">
        <v>16</v>
      </c>
      <c r="I59" s="10">
        <f>AVERAGE(G59:H59)</f>
        <v/>
      </c>
      <c r="J59" s="9" t="n">
        <v>14</v>
      </c>
      <c r="K59" s="9" t="n">
        <v>29</v>
      </c>
      <c r="L59" s="10">
        <f>AVERAGE(J59:K59)</f>
        <v/>
      </c>
      <c r="M59" s="5" t="inlineStr">
        <is>
          <t>logged</t>
        </is>
      </c>
      <c r="N59" s="6" t="inlineStr">
        <is>
          <t>Sixth skip of the coconut chutney; eaten out rather than from the mess</t>
        </is>
      </c>
    </row>
    <row r="60">
      <c r="A60" s="4" t="n">
        <v>46279</v>
      </c>
      <c r="B60" s="5" t="inlineStr">
        <is>
          <t>Dinner</t>
        </is>
      </c>
      <c r="C60" s="6" t="inlineStr">
        <is>
          <t>Leftover half rice from lunch + chicken curry</t>
        </is>
      </c>
      <c r="D60" s="7" t="n">
        <v>375</v>
      </c>
      <c r="E60" s="7" t="n">
        <v>560</v>
      </c>
      <c r="F60" s="8">
        <f>AVERAGE(D60:E60)</f>
        <v/>
      </c>
      <c r="G60" s="9" t="n">
        <v>20</v>
      </c>
      <c r="H60" s="9" t="n">
        <v>27</v>
      </c>
      <c r="I60" s="10">
        <f>AVERAGE(G60:H60)</f>
        <v/>
      </c>
      <c r="J60" s="9" t="n">
        <v>12</v>
      </c>
      <c r="K60" s="9" t="n">
        <v>19</v>
      </c>
      <c r="L60" s="10">
        <f>AVERAGE(J60:K60)</f>
        <v/>
      </c>
      <c r="M60" s="5" t="inlineStr">
        <is>
          <t>logged</t>
        </is>
      </c>
      <c r="N60" s="6" t="inlineStr">
        <is>
          <t>Rice reused from the lunch container; green 330 ml can in the photo not identified and not counted</t>
        </is>
      </c>
    </row>
    <row r="61">
      <c r="A61" s="4" t="n">
        <v>46279</v>
      </c>
      <c r="B61" s="5" t="inlineStr">
        <is>
          <t>Lunch</t>
        </is>
      </c>
      <c r="C61" s="6" t="inlineStr">
        <is>
          <t>Mess meals plate (rice halved) + 1 fried fish piece + veg curry, sambar, thin curry, white side, green side</t>
        </is>
      </c>
      <c r="D61" s="7" t="n">
        <v>565</v>
      </c>
      <c r="E61" s="7" t="n">
        <v>950</v>
      </c>
      <c r="F61" s="8">
        <f>AVERAGE(D61:E61)</f>
        <v/>
      </c>
      <c r="G61" s="9" t="n">
        <v>22.5</v>
      </c>
      <c r="H61" s="9" t="n">
        <v>34</v>
      </c>
      <c r="I61" s="10">
        <f>AVERAGE(G61:H61)</f>
        <v/>
      </c>
      <c r="J61" s="9" t="n">
        <v>23</v>
      </c>
      <c r="K61" s="9" t="n">
        <v>48</v>
      </c>
      <c r="L61" s="10">
        <f>AVERAGE(J61:K61)</f>
        <v/>
      </c>
      <c r="M61" s="5" t="inlineStr">
        <is>
          <t>logged</t>
        </is>
      </c>
      <c r="N61" s="6" t="inlineStr">
        <is>
          <t>All four side containers opened and eaten - confirmed by the user</t>
        </is>
      </c>
    </row>
    <row r="62">
      <c r="A62" s="4" t="n">
        <v>46279</v>
      </c>
      <c r="B62" s="5" t="inlineStr">
        <is>
          <t>Snack</t>
        </is>
      </c>
      <c r="C62" s="6" t="inlineStr">
        <is>
          <t>Black coffee + 1 whey scoop</t>
        </is>
      </c>
      <c r="D62" s="7" t="n">
        <v>100</v>
      </c>
      <c r="E62" s="7" t="n">
        <v>130</v>
      </c>
      <c r="F62" s="8">
        <f>AVERAGE(D62:E62)</f>
        <v/>
      </c>
      <c r="G62" s="9" t="n">
        <v>20</v>
      </c>
      <c r="H62" s="9" t="n">
        <v>25</v>
      </c>
      <c r="I62" s="10">
        <f>AVERAGE(G62:H62)</f>
        <v/>
      </c>
      <c r="J62" s="9" t="n">
        <v>1</v>
      </c>
      <c r="K62" s="9" t="n">
        <v>3</v>
      </c>
      <c r="L62" s="10">
        <f>AVERAGE(J62:K62)</f>
        <v/>
      </c>
      <c r="M62" s="5" t="inlineStr">
        <is>
          <t>logged</t>
        </is>
      </c>
      <c r="N62" s="6" t="inlineStr">
        <is>
          <t>Scoop 1 of the 3 planned for today</t>
        </is>
      </c>
    </row>
    <row r="63">
      <c r="A63" s="4" t="n">
        <v>46280</v>
      </c>
      <c r="B63" s="5" t="inlineStr">
        <is>
          <t>Breakfast</t>
        </is>
      </c>
      <c r="C63" s="6" t="inlineStr">
        <is>
          <t>Large restaurant dosa + sambar + red chutney (white chutney skipped)</t>
        </is>
      </c>
      <c r="D63" s="7" t="n">
        <v>380</v>
      </c>
      <c r="E63" s="7" t="n">
        <v>590</v>
      </c>
      <c r="F63" s="8">
        <f>AVERAGE(D63:E63)</f>
        <v/>
      </c>
      <c r="G63" s="9" t="n">
        <v>10</v>
      </c>
      <c r="H63" s="9" t="n">
        <v>16</v>
      </c>
      <c r="I63" s="10">
        <f>AVERAGE(G63:H63)</f>
        <v/>
      </c>
      <c r="J63" s="9" t="n">
        <v>14</v>
      </c>
      <c r="K63" s="9" t="n">
        <v>29</v>
      </c>
      <c r="L63" s="10">
        <f>AVERAGE(J63:K63)</f>
        <v/>
      </c>
      <c r="M63" s="5" t="inlineStr">
        <is>
          <t>logged</t>
        </is>
      </c>
      <c r="N63" s="6" t="inlineStr">
        <is>
          <t>Seventh skip of the white chutney; eaten out again</t>
        </is>
      </c>
    </row>
    <row r="64">
      <c r="A64" s="4" t="n">
        <v>46280</v>
      </c>
      <c r="B64" s="5" t="inlineStr">
        <is>
          <t>Dinner</t>
        </is>
      </c>
      <c r="C64" s="6" t="inlineStr">
        <is>
          <t>Half ghee rice + chicken curry + 2 pieces beef varattiyathu + raita</t>
        </is>
      </c>
      <c r="D64" s="7" t="n">
        <v>690</v>
      </c>
      <c r="E64" s="7" t="n">
        <v>1030</v>
      </c>
      <c r="F64" s="8">
        <f>AVERAGE(D64:E64)</f>
        <v/>
      </c>
      <c r="G64" s="9" t="n">
        <v>44</v>
      </c>
      <c r="H64" s="9" t="n">
        <v>62</v>
      </c>
      <c r="I64" s="10">
        <f>AVERAGE(G64:H64)</f>
        <v/>
      </c>
      <c r="J64" s="9" t="n">
        <v>33</v>
      </c>
      <c r="K64" s="9" t="n">
        <v>58</v>
      </c>
      <c r="L64" s="10">
        <f>AVERAGE(J64:K64)</f>
        <v/>
      </c>
      <c r="M64" s="5" t="inlineStr">
        <is>
          <t>logged</t>
        </is>
      </c>
      <c r="N64" s="6" t="inlineStr">
        <is>
          <t>Not the menu's green peas - chicken and beef both on the plate; best protein dinner of the twelve days</t>
        </is>
      </c>
    </row>
    <row r="65">
      <c r="A65" s="4" t="n">
        <v>46280</v>
      </c>
      <c r="B65" s="5" t="inlineStr">
        <is>
          <t>Lunch</t>
        </is>
      </c>
      <c r="C65" s="6" t="inlineStr">
        <is>
          <t>2 chapati + chicken curry with 4 chicken pieces</t>
        </is>
      </c>
      <c r="D65" s="7" t="n">
        <v>420</v>
      </c>
      <c r="E65" s="7" t="n">
        <v>600</v>
      </c>
      <c r="F65" s="8">
        <f>AVERAGE(D65:E65)</f>
        <v/>
      </c>
      <c r="G65" s="9" t="n">
        <v>26</v>
      </c>
      <c r="H65" s="9" t="n">
        <v>36</v>
      </c>
      <c r="I65" s="10">
        <f>AVERAGE(G65:H65)</f>
        <v/>
      </c>
      <c r="J65" s="9" t="n">
        <v>18</v>
      </c>
      <c r="K65" s="9" t="n">
        <v>29</v>
      </c>
      <c r="L65" s="10">
        <f>AVERAGE(J65:K65)</f>
        <v/>
      </c>
      <c r="M65" s="5" t="inlineStr">
        <is>
          <t>logged</t>
        </is>
      </c>
      <c r="N65" s="6" t="inlineStr">
        <is>
          <t>Chapati taken instead of the menu's ghee rice - cheaper and more protein</t>
        </is>
      </c>
    </row>
    <row r="66">
      <c r="A66" s="4" t="n">
        <v>46280</v>
      </c>
      <c r="B66" s="5" t="inlineStr">
        <is>
          <t>Snack</t>
        </is>
      </c>
      <c r="C66" s="6" t="inlineStr">
        <is>
          <t>1 slice birthday cake</t>
        </is>
      </c>
      <c r="D66" s="7" t="n">
        <v>250</v>
      </c>
      <c r="E66" s="7" t="n">
        <v>400</v>
      </c>
      <c r="F66" s="8">
        <f>AVERAGE(D66:E66)</f>
        <v/>
      </c>
      <c r="G66" s="9" t="n">
        <v>3</v>
      </c>
      <c r="H66" s="9" t="n">
        <v>5</v>
      </c>
      <c r="I66" s="10">
        <f>AVERAGE(G66:H66)</f>
        <v/>
      </c>
      <c r="J66" s="9" t="n">
        <v>12</v>
      </c>
      <c r="K66" s="9" t="n">
        <v>22</v>
      </c>
      <c r="L66" s="10">
        <f>AVERAGE(J66:K66)</f>
        <v/>
      </c>
      <c r="M66" s="5" t="inlineStr">
        <is>
          <t>logged</t>
        </is>
      </c>
      <c r="N66" s="6" t="inlineStr">
        <is>
          <t>33rd birthday</t>
        </is>
      </c>
    </row>
    <row r="67">
      <c r="A67" s="4" t="n">
        <v>46281</v>
      </c>
      <c r="B67" s="5" t="inlineStr">
        <is>
          <t>Breakfast</t>
        </is>
      </c>
      <c r="C67" s="6" t="inlineStr">
        <is>
          <t>2 puttu pieces + kadala curry</t>
        </is>
      </c>
      <c r="D67" s="7" t="n">
        <v>560</v>
      </c>
      <c r="E67" s="7" t="n">
        <v>800</v>
      </c>
      <c r="F67" s="8">
        <f>AVERAGE(D67:E67)</f>
        <v/>
      </c>
      <c r="G67" s="9" t="n">
        <v>14</v>
      </c>
      <c r="H67" s="9" t="n">
        <v>20</v>
      </c>
      <c r="I67" s="10">
        <f>AVERAGE(G67:H67)</f>
        <v/>
      </c>
      <c r="J67" s="9" t="n">
        <v>16</v>
      </c>
      <c r="K67" s="9" t="n">
        <v>30</v>
      </c>
      <c r="L67" s="10">
        <f>AVERAGE(J67:K67)</f>
        <v/>
      </c>
      <c r="M67" s="5" t="inlineStr">
        <is>
          <t>logged</t>
        </is>
      </c>
      <c r="N67" s="6" t="inlineStr">
        <is>
          <t>Eaten out at Grill Spot; both pieces confirmed eaten</t>
        </is>
      </c>
    </row>
    <row r="68">
      <c r="A68" s="4" t="n">
        <v>46281</v>
      </c>
      <c r="B68" s="5" t="inlineStr">
        <is>
          <t>Dinner</t>
        </is>
      </c>
      <c r="C68" s="6" t="inlineStr">
        <is>
          <t>Leftover half rice from lunch + chicken curry</t>
        </is>
      </c>
      <c r="D68" s="7" t="n">
        <v>375</v>
      </c>
      <c r="E68" s="7" t="n">
        <v>560</v>
      </c>
      <c r="F68" s="8">
        <f>AVERAGE(D68:E68)</f>
        <v/>
      </c>
      <c r="G68" s="9" t="n">
        <v>20</v>
      </c>
      <c r="H68" s="9" t="n">
        <v>27</v>
      </c>
      <c r="I68" s="10">
        <f>AVERAGE(G68:H68)</f>
        <v/>
      </c>
      <c r="J68" s="9" t="n">
        <v>12</v>
      </c>
      <c r="K68" s="9" t="n">
        <v>19</v>
      </c>
      <c r="L68" s="10">
        <f>AVERAGE(J68:K68)</f>
        <v/>
      </c>
      <c r="M68" s="5" t="inlineStr">
        <is>
          <t>logged</t>
        </is>
      </c>
      <c r="N68" s="6" t="inlineStr">
        <is>
          <t>Rice reused from the lunch container; no chapati</t>
        </is>
      </c>
    </row>
    <row r="69">
      <c r="A69" s="4" t="n">
        <v>46281</v>
      </c>
      <c r="B69" s="5" t="inlineStr">
        <is>
          <t>Lunch</t>
        </is>
      </c>
      <c r="C69" s="6" t="inlineStr">
        <is>
          <t>Mess meals plate (rice halved) + 1 fried fish + sambar/veg curry on the plate</t>
        </is>
      </c>
      <c r="D69" s="7" t="n">
        <v>385</v>
      </c>
      <c r="E69" s="7" t="n">
        <v>580</v>
      </c>
      <c r="F69" s="8">
        <f>AVERAGE(D69:E69)</f>
        <v/>
      </c>
      <c r="G69" s="9" t="n">
        <v>16</v>
      </c>
      <c r="H69" s="9" t="n">
        <v>23</v>
      </c>
      <c r="I69" s="10">
        <f>AVERAGE(G69:H69)</f>
        <v/>
      </c>
      <c r="J69" s="9" t="n">
        <v>11</v>
      </c>
      <c r="K69" s="9" t="n">
        <v>20</v>
      </c>
      <c r="L69" s="10">
        <f>AVERAGE(J69:K69)</f>
        <v/>
      </c>
      <c r="M69" s="5" t="inlineStr">
        <is>
          <t>logged</t>
        </is>
      </c>
      <c r="N69" s="6" t="inlineStr">
        <is>
          <t>Plate only</t>
        </is>
      </c>
    </row>
    <row r="70">
      <c r="A70" s="4" t="n">
        <v>46281</v>
      </c>
      <c r="B70" s="5" t="inlineStr">
        <is>
          <t>Lunch</t>
        </is>
      </c>
      <c r="C70" s="6" t="inlineStr">
        <is>
          <t>Side containers onto the plate: cabbage-carrot thoran, battered fried pieces, coconut chammanthi</t>
        </is>
      </c>
      <c r="D70" s="7" t="n">
        <v>270</v>
      </c>
      <c r="E70" s="7" t="n">
        <v>470</v>
      </c>
      <c r="F70" s="8">
        <f>AVERAGE(D70:E70)</f>
        <v/>
      </c>
      <c r="G70" s="9" t="n">
        <v>9</v>
      </c>
      <c r="H70" s="9" t="n">
        <v>18</v>
      </c>
      <c r="I70" s="10">
        <f>AVERAGE(G70:H70)</f>
        <v/>
      </c>
      <c r="J70" s="9" t="n">
        <v>19</v>
      </c>
      <c r="K70" s="9" t="n">
        <v>36</v>
      </c>
      <c r="L70" s="10">
        <f>AVERAGE(J70:K70)</f>
        <v/>
      </c>
      <c r="M70" s="5" t="inlineStr">
        <is>
          <t>logged</t>
        </is>
      </c>
      <c r="N70" s="6" t="inlineStr">
        <is>
          <t>Confirmed by the plated photo - higher than the 200-400 assumed because of the large chammanthi dollop and a fried item</t>
        </is>
      </c>
    </row>
    <row r="71">
      <c r="A71" s="4" t="n">
        <v>46281</v>
      </c>
      <c r="B71" s="5" t="inlineStr">
        <is>
          <t>Snack</t>
        </is>
      </c>
      <c r="C71" s="6" t="inlineStr">
        <is>
          <t>3 whey scoops + water</t>
        </is>
      </c>
      <c r="D71" s="7" t="n">
        <v>300</v>
      </c>
      <c r="E71" s="7" t="n">
        <v>390</v>
      </c>
      <c r="F71" s="8">
        <f>AVERAGE(D71:E71)</f>
        <v/>
      </c>
      <c r="G71" s="9" t="n">
        <v>60</v>
      </c>
      <c r="H71" s="9" t="n">
        <v>75</v>
      </c>
      <c r="I71" s="10">
        <f>AVERAGE(G71:H71)</f>
        <v/>
      </c>
      <c r="J71" s="9" t="n">
        <v>3</v>
      </c>
      <c r="K71" s="9" t="n">
        <v>9</v>
      </c>
      <c r="L71" s="10">
        <f>AVERAGE(J71:K71)</f>
        <v/>
      </c>
      <c r="M71" s="5" t="inlineStr">
        <is>
          <t>logged</t>
        </is>
      </c>
      <c r="N71" s="6" t="inlineStr">
        <is>
          <t>Closing scoops confirmed - first full evening dose logged in five days</t>
        </is>
      </c>
    </row>
    <row r="72">
      <c r="A72" s="4" t="n">
        <v>46281</v>
      </c>
      <c r="B72" s="5" t="inlineStr">
        <is>
          <t>Supplement</t>
        </is>
      </c>
      <c r="C72" s="6" t="inlineStr">
        <is>
          <t>1 omega-3 fish oil 1000 mg + 1 vitamin D3 50000 IU capsule</t>
        </is>
      </c>
      <c r="D72" s="7" t="n">
        <v>10</v>
      </c>
      <c r="E72" s="7" t="n">
        <v>20</v>
      </c>
      <c r="F72" s="8">
        <f>AVERAGE(D72:E72)</f>
        <v/>
      </c>
      <c r="G72" s="9" t="n">
        <v>0</v>
      </c>
      <c r="H72" s="9" t="n">
        <v>0</v>
      </c>
      <c r="I72" s="10">
        <f>AVERAGE(G72:H72)</f>
        <v/>
      </c>
      <c r="J72" s="9" t="n">
        <v>1</v>
      </c>
      <c r="K72" s="9" t="n">
        <v>2</v>
      </c>
      <c r="L72" s="10">
        <f>AVERAGE(J72:K72)</f>
        <v/>
      </c>
      <c r="M72" s="5" t="inlineStr">
        <is>
          <t>logged</t>
        </is>
      </c>
      <c r="N72" s="6" t="inlineStr">
        <is>
          <t>Negligible calories; D3 50000 IU is a weekly-dose strength</t>
        </is>
      </c>
    </row>
    <row r="73">
      <c r="A73" s="4" t="n">
        <v>46282</v>
      </c>
      <c r="B73" s="5" t="inlineStr">
        <is>
          <t>Breakfast</t>
        </is>
      </c>
      <c r="C73" s="6" t="inlineStr">
        <is>
          <t>Large restaurant dosa + sambar + red chutney (white chutney skipped)</t>
        </is>
      </c>
      <c r="D73" s="7" t="n">
        <v>380</v>
      </c>
      <c r="E73" s="7" t="n">
        <v>590</v>
      </c>
      <c r="F73" s="8">
        <f>AVERAGE(D73:E73)</f>
        <v/>
      </c>
      <c r="G73" s="9" t="n">
        <v>10</v>
      </c>
      <c r="H73" s="9" t="n">
        <v>16</v>
      </c>
      <c r="I73" s="10">
        <f>AVERAGE(G73:H73)</f>
        <v/>
      </c>
      <c r="J73" s="9" t="n">
        <v>14</v>
      </c>
      <c r="K73" s="9" t="n">
        <v>29</v>
      </c>
      <c r="L73" s="10">
        <f>AVERAGE(J73:K73)</f>
        <v/>
      </c>
      <c r="M73" s="5" t="inlineStr">
        <is>
          <t>logged</t>
        </is>
      </c>
      <c r="N73" s="6" t="inlineStr">
        <is>
          <t>Eighth skip of the white chutney</t>
        </is>
      </c>
    </row>
    <row r="74">
      <c r="A74" s="4" t="n">
        <v>46282</v>
      </c>
      <c r="B74" s="5" t="inlineStr">
        <is>
          <t>Dinner</t>
        </is>
      </c>
      <c r="C74" s="6" t="inlineStr">
        <is>
          <t>Charcoal grilled chicken piece + Malabar porotta + hummus, garlic toum, tomato-onion mezze, pickles</t>
        </is>
      </c>
      <c r="D74" s="7" t="n">
        <v>840</v>
      </c>
      <c r="E74" s="7" t="n">
        <v>1240</v>
      </c>
      <c r="F74" s="8">
        <f>AVERAGE(D74:E74)</f>
        <v/>
      </c>
      <c r="G74" s="9" t="n">
        <v>60.5</v>
      </c>
      <c r="H74" s="9" t="n">
        <v>79</v>
      </c>
      <c r="I74" s="10">
        <f>AVERAGE(G74:H74)</f>
        <v/>
      </c>
      <c r="J74" s="9" t="n">
        <v>46</v>
      </c>
      <c r="K74" s="9" t="n">
        <v>79</v>
      </c>
      <c r="L74" s="10">
        <f>AVERAGE(J74:K74)</f>
        <v/>
      </c>
      <c r="M74" s="5" t="inlineStr">
        <is>
          <t>logged</t>
        </is>
      </c>
      <c r="N74" s="6" t="inlineStr">
        <is>
          <t>Restaurant grilled chicken meal</t>
        </is>
      </c>
    </row>
    <row r="75">
      <c r="A75" s="4" t="n">
        <v>46282</v>
      </c>
      <c r="B75" s="5" t="inlineStr">
        <is>
          <t>Lunch</t>
        </is>
      </c>
      <c r="C75" s="6" t="inlineStr">
        <is>
          <t>Mess meals plate (rice halved) + 1 fried fish + sambar, cabbage thoran, 2 veg curries + moru curry</t>
        </is>
      </c>
      <c r="D75" s="7" t="n">
        <v>645</v>
      </c>
      <c r="E75" s="7" t="n">
        <v>1030</v>
      </c>
      <c r="F75" s="8">
        <f>AVERAGE(D75:E75)</f>
        <v/>
      </c>
      <c r="G75" s="9" t="n">
        <v>24</v>
      </c>
      <c r="H75" s="9" t="n">
        <v>37</v>
      </c>
      <c r="I75" s="10">
        <f>AVERAGE(G75:H75)</f>
        <v/>
      </c>
      <c r="J75" s="9" t="n">
        <v>28</v>
      </c>
      <c r="K75" s="9" t="n">
        <v>52</v>
      </c>
      <c r="L75" s="10">
        <f>AVERAGE(J75:K75)</f>
        <v/>
      </c>
      <c r="M75" s="5" t="inlineStr">
        <is>
          <t>logged</t>
        </is>
      </c>
      <c r="N75" s="6" t="inlineStr">
        <is>
          <t>Only the moru container taken rather than all four</t>
        </is>
      </c>
    </row>
    <row r="76">
      <c r="A76" s="4" t="n">
        <v>46282</v>
      </c>
      <c r="B76" s="5" t="inlineStr">
        <is>
          <t>Snack</t>
        </is>
      </c>
      <c r="C76" s="6" t="inlineStr">
        <is>
          <t>Black coffee + 1 whey scoop</t>
        </is>
      </c>
      <c r="D76" s="7" t="n">
        <v>100</v>
      </c>
      <c r="E76" s="7" t="n">
        <v>130</v>
      </c>
      <c r="F76" s="8">
        <f>AVERAGE(D76:E76)</f>
        <v/>
      </c>
      <c r="G76" s="9" t="n">
        <v>20</v>
      </c>
      <c r="H76" s="9" t="n">
        <v>25</v>
      </c>
      <c r="I76" s="10">
        <f>AVERAGE(G76:H76)</f>
        <v/>
      </c>
      <c r="J76" s="9" t="n">
        <v>1</v>
      </c>
      <c r="K76" s="9" t="n">
        <v>3</v>
      </c>
      <c r="L76" s="10">
        <f>AVERAGE(J76:K76)</f>
        <v/>
      </c>
      <c r="M76" s="5" t="inlineStr">
        <is>
          <t>logged</t>
        </is>
      </c>
      <c r="N76" s="6" t="inlineStr">
        <is>
          <t>Scoop 1</t>
        </is>
      </c>
    </row>
    <row r="77">
      <c r="A77" s="4" t="n">
        <v>46282</v>
      </c>
      <c r="B77" s="5" t="inlineStr">
        <is>
          <t>Snack</t>
        </is>
      </c>
      <c r="C77" s="6" t="inlineStr">
        <is>
          <t>Black coffee + 2 whey scoops</t>
        </is>
      </c>
      <c r="D77" s="7" t="n">
        <v>200</v>
      </c>
      <c r="E77" s="7" t="n">
        <v>260</v>
      </c>
      <c r="F77" s="8">
        <f>AVERAGE(D77:E77)</f>
        <v/>
      </c>
      <c r="G77" s="9" t="n">
        <v>40</v>
      </c>
      <c r="H77" s="9" t="n">
        <v>50</v>
      </c>
      <c r="I77" s="10">
        <f>AVERAGE(G77:H77)</f>
        <v/>
      </c>
      <c r="J77" s="9" t="n">
        <v>2</v>
      </c>
      <c r="K77" s="9" t="n">
        <v>6</v>
      </c>
      <c r="L77" s="10">
        <f>AVERAGE(J77:K77)</f>
        <v/>
      </c>
      <c r="M77" s="5" t="inlineStr">
        <is>
          <t>logged</t>
        </is>
      </c>
      <c r="N77" s="6" t="inlineStr">
        <is>
          <t>Scoops 2 and 3</t>
        </is>
      </c>
    </row>
    <row r="78">
      <c r="A78" s="4" t="n">
        <v>46283</v>
      </c>
      <c r="B78" s="5" t="inlineStr">
        <is>
          <t>Breakfast</t>
        </is>
      </c>
      <c r="C78" s="6" t="inlineStr">
        <is>
          <t>2 puttu pieces + kadala curry</t>
        </is>
      </c>
      <c r="D78" s="7" t="n">
        <v>560</v>
      </c>
      <c r="E78" s="7" t="n">
        <v>800</v>
      </c>
      <c r="F78" s="8">
        <f>AVERAGE(D78:E78)</f>
        <v/>
      </c>
      <c r="G78" s="9" t="n">
        <v>14</v>
      </c>
      <c r="H78" s="9" t="n">
        <v>20</v>
      </c>
      <c r="I78" s="10">
        <f>AVERAGE(G78:H78)</f>
        <v/>
      </c>
      <c r="J78" s="9" t="n">
        <v>16</v>
      </c>
      <c r="K78" s="9" t="n">
        <v>30</v>
      </c>
      <c r="L78" s="10">
        <f>AVERAGE(J78:K78)</f>
        <v/>
      </c>
      <c r="M78" s="5" t="inlineStr">
        <is>
          <t>logged</t>
        </is>
      </c>
      <c r="N78" s="6" t="inlineStr">
        <is>
          <t>Same breakfast as Day 13</t>
        </is>
      </c>
    </row>
    <row r="79">
      <c r="A79" s="4" t="n">
        <v>46283</v>
      </c>
      <c r="B79" s="5" t="inlineStr">
        <is>
          <t>Dinner</t>
        </is>
      </c>
      <c r="C79" s="6" t="inlineStr">
        <is>
          <t>2 chapati + kadala curry</t>
        </is>
      </c>
      <c r="D79" s="7" t="n">
        <v>400</v>
      </c>
      <c r="E79" s="7" t="n">
        <v>560</v>
      </c>
      <c r="F79" s="8">
        <f>AVERAGE(D79:E79)</f>
        <v/>
      </c>
      <c r="G79" s="9" t="n">
        <v>14</v>
      </c>
      <c r="H79" s="9" t="n">
        <v>18</v>
      </c>
      <c r="I79" s="10">
        <f>AVERAGE(G79:H79)</f>
        <v/>
      </c>
      <c r="J79" s="9" t="n">
        <v>11</v>
      </c>
      <c r="K79" s="9" t="n">
        <v>18</v>
      </c>
      <c r="L79" s="10">
        <f>AVERAGE(J79:K79)</f>
        <v/>
      </c>
      <c r="M79" s="5" t="inlineStr">
        <is>
          <t>logged</t>
        </is>
      </c>
      <c r="N79" s="6" t="inlineStr">
        <is>
          <t>Mess Friday dinner</t>
        </is>
      </c>
    </row>
    <row r="80">
      <c r="A80" s="4" t="n">
        <v>46283</v>
      </c>
      <c r="B80" s="5" t="inlineStr">
        <is>
          <t>Lunch</t>
        </is>
      </c>
      <c r="C80" s="6" t="inlineStr">
        <is>
          <t>Chicken biriyani (rice halved) + 2 chicken pieces + raita + garlic pickle</t>
        </is>
      </c>
      <c r="D80" s="7" t="n">
        <v>480</v>
      </c>
      <c r="E80" s="7" t="n">
        <v>730</v>
      </c>
      <c r="F80" s="8">
        <f>AVERAGE(D80:E80)</f>
        <v/>
      </c>
      <c r="G80" s="9" t="n">
        <v>29.5</v>
      </c>
      <c r="H80" s="9" t="n">
        <v>43</v>
      </c>
      <c r="I80" s="10">
        <f>AVERAGE(G80:H80)</f>
        <v/>
      </c>
      <c r="J80" s="9" t="n">
        <v>22</v>
      </c>
      <c r="K80" s="9" t="n">
        <v>40</v>
      </c>
      <c r="L80" s="10">
        <f>AVERAGE(J80:K80)</f>
        <v/>
      </c>
      <c r="M80" s="5" t="inlineStr">
        <is>
          <t>logged</t>
        </is>
      </c>
      <c r="N80" s="6" t="inlineStr">
        <is>
          <t>Rice halved; 2 chicken pieces</t>
        </is>
      </c>
    </row>
    <row r="81">
      <c r="A81" s="4" t="n">
        <v>46283</v>
      </c>
      <c r="B81" s="5" t="inlineStr">
        <is>
          <t>Snack</t>
        </is>
      </c>
      <c r="C81" s="6" t="inlineStr">
        <is>
          <t>Black coffee + 1 whey scoop</t>
        </is>
      </c>
      <c r="D81" s="7" t="n">
        <v>100</v>
      </c>
      <c r="E81" s="7" t="n">
        <v>130</v>
      </c>
      <c r="F81" s="8">
        <f>AVERAGE(D81:E81)</f>
        <v/>
      </c>
      <c r="G81" s="9" t="n">
        <v>20</v>
      </c>
      <c r="H81" s="9" t="n">
        <v>25</v>
      </c>
      <c r="I81" s="10">
        <f>AVERAGE(G81:H81)</f>
        <v/>
      </c>
      <c r="J81" s="9" t="n">
        <v>1</v>
      </c>
      <c r="K81" s="9" t="n">
        <v>3</v>
      </c>
      <c r="L81" s="10">
        <f>AVERAGE(J81:K81)</f>
        <v/>
      </c>
      <c r="M81" s="5" t="inlineStr">
        <is>
          <t>logged</t>
        </is>
      </c>
      <c r="N81" s="6" t="inlineStr">
        <is>
          <t>Scoop 1</t>
        </is>
      </c>
    </row>
    <row r="82">
      <c r="A82" s="4" t="n">
        <v>46284</v>
      </c>
      <c r="B82" s="5" t="inlineStr">
        <is>
          <t>Breakfast</t>
        </is>
      </c>
      <c r="C82" s="6" t="inlineStr">
        <is>
          <t>2 set dosa + vegetable sambar + red chutney (no white chutney)</t>
        </is>
      </c>
      <c r="D82" s="7" t="n">
        <v>480</v>
      </c>
      <c r="E82" s="7" t="n">
        <v>710</v>
      </c>
      <c r="F82" s="8">
        <f>AVERAGE(D82:E82)</f>
        <v/>
      </c>
      <c r="G82" s="9" t="n">
        <v>12.5</v>
      </c>
      <c r="H82" s="9" t="n">
        <v>20</v>
      </c>
      <c r="I82" s="10">
        <f>AVERAGE(G82:H82)</f>
        <v/>
      </c>
      <c r="J82" s="9" t="n">
        <v>17</v>
      </c>
      <c r="K82" s="9" t="n">
        <v>34</v>
      </c>
      <c r="L82" s="10">
        <f>AVERAGE(J82:K82)</f>
        <v/>
      </c>
      <c r="M82" s="5" t="inlineStr">
        <is>
          <t>logged</t>
        </is>
      </c>
      <c r="N82" s="6" t="inlineStr">
        <is>
          <t>Eaten out; generous sambar poured over both dosa</t>
        </is>
      </c>
    </row>
    <row r="83">
      <c r="A83" s="4" t="n">
        <v>46284</v>
      </c>
      <c r="B83" s="5" t="inlineStr">
        <is>
          <t>Dinner</t>
        </is>
      </c>
      <c r="C83" s="6" t="inlineStr">
        <is>
          <t>Grilled chicken piece + chicken curry + 2 chapati + 1 boiled egg</t>
        </is>
      </c>
      <c r="D83" s="7" t="n">
        <v>650</v>
      </c>
      <c r="E83" s="7" t="n">
        <v>938</v>
      </c>
      <c r="F83" s="8">
        <f>AVERAGE(D83:E83)</f>
        <v/>
      </c>
      <c r="G83" s="9" t="n">
        <v>52</v>
      </c>
      <c r="H83" s="9" t="n">
        <v>72.5</v>
      </c>
      <c r="I83" s="10">
        <f>AVERAGE(G83:H83)</f>
        <v/>
      </c>
      <c r="J83" s="9" t="n">
        <v>29</v>
      </c>
      <c r="K83" s="9" t="n">
        <v>48.5</v>
      </c>
      <c r="L83" s="10">
        <f>AVERAGE(J83:K83)</f>
        <v/>
      </c>
      <c r="M83" s="5" t="inlineStr">
        <is>
          <t>logged</t>
        </is>
      </c>
      <c r="N83" s="6" t="inlineStr">
        <is>
          <t>Sprite can in the photo not identified - counted as zero-sugar</t>
        </is>
      </c>
    </row>
    <row r="84">
      <c r="A84" s="4" t="n">
        <v>46284</v>
      </c>
      <c r="B84" s="5" t="inlineStr">
        <is>
          <t>Lunch</t>
        </is>
      </c>
      <c r="C84" s="6" t="inlineStr">
        <is>
          <t>Mess meals plate (rice halved) + 1-egg omelette + sambar, cabbage thoran, veg curry, curd</t>
        </is>
      </c>
      <c r="D84" s="7" t="n">
        <v>615</v>
      </c>
      <c r="E84" s="7" t="n">
        <v>960</v>
      </c>
      <c r="F84" s="8">
        <f>AVERAGE(D84:E84)</f>
        <v/>
      </c>
      <c r="G84" s="9" t="n">
        <v>23</v>
      </c>
      <c r="H84" s="9" t="n">
        <v>33</v>
      </c>
      <c r="I84" s="10">
        <f>AVERAGE(G84:H84)</f>
        <v/>
      </c>
      <c r="J84" s="9" t="n">
        <v>26</v>
      </c>
      <c r="K84" s="9" t="n">
        <v>47</v>
      </c>
      <c r="L84" s="10">
        <f>AVERAGE(J84:K84)</f>
        <v/>
      </c>
      <c r="M84" s="5" t="inlineStr">
        <is>
          <t>logged</t>
        </is>
      </c>
      <c r="N84" s="6" t="inlineStr">
        <is>
          <t>Corrected - the flat item was a thin 1-egg omelette</t>
        </is>
      </c>
    </row>
    <row r="85">
      <c r="A85" s="4" t="n">
        <v>46284</v>
      </c>
      <c r="B85" s="5" t="inlineStr">
        <is>
          <t>Snack</t>
        </is>
      </c>
      <c r="C85" s="6" t="inlineStr">
        <is>
          <t>Black coffee + 1.5 whey scoops</t>
        </is>
      </c>
      <c r="D85" s="7" t="n">
        <v>150</v>
      </c>
      <c r="E85" s="7" t="n">
        <v>195</v>
      </c>
      <c r="F85" s="8">
        <f>AVERAGE(D85:E85)</f>
        <v/>
      </c>
      <c r="G85" s="9" t="n">
        <v>30</v>
      </c>
      <c r="H85" s="9" t="n">
        <v>37.5</v>
      </c>
      <c r="I85" s="10">
        <f>AVERAGE(G85:H85)</f>
        <v/>
      </c>
      <c r="J85" s="9" t="n">
        <v>1.5</v>
      </c>
      <c r="K85" s="9" t="n">
        <v>4.5</v>
      </c>
      <c r="L85" s="10">
        <f>AVERAGE(J85:K85)</f>
        <v/>
      </c>
      <c r="M85" s="5" t="inlineStr">
        <is>
          <t>logged</t>
        </is>
      </c>
      <c r="N85" s="6" t="inlineStr">
        <is>
          <t>Scoop 1 and a half</t>
        </is>
      </c>
    </row>
    <row r="86">
      <c r="A86" s="4" t="n">
        <v>46285</v>
      </c>
      <c r="B86" s="5" t="inlineStr">
        <is>
          <t>Breakfast</t>
        </is>
      </c>
      <c r="C86" s="6" t="inlineStr">
        <is>
          <t>1 porotta + kadala curry</t>
        </is>
      </c>
      <c r="D86" s="7" t="n">
        <v>360</v>
      </c>
      <c r="E86" s="7" t="n">
        <v>550</v>
      </c>
      <c r="F86" s="8">
        <f>AVERAGE(D86:E86)</f>
        <v/>
      </c>
      <c r="G86" s="9" t="n">
        <v>12</v>
      </c>
      <c r="H86" s="9" t="n">
        <v>16</v>
      </c>
      <c r="I86" s="10">
        <f>AVERAGE(G86:H86)</f>
        <v/>
      </c>
      <c r="J86" s="9" t="n">
        <v>16</v>
      </c>
      <c r="K86" s="9" t="n">
        <v>27</v>
      </c>
      <c r="L86" s="10">
        <f>AVERAGE(J86:K86)</f>
        <v/>
      </c>
      <c r="M86" s="5" t="inlineStr">
        <is>
          <t>logged</t>
        </is>
      </c>
      <c r="N86" s="6" t="inlineStr">
        <is>
          <t>Took 1 porotta rather than the menu's 2 - saves ~205 kcal</t>
        </is>
      </c>
    </row>
    <row r="87">
      <c r="A87" s="4" t="n">
        <v>46285</v>
      </c>
      <c r="B87" s="5" t="inlineStr">
        <is>
          <t>Dinner</t>
        </is>
      </c>
      <c r="C87" s="6" t="inlineStr">
        <is>
          <t>Quarter grilled chicken + mixed grill</t>
        </is>
      </c>
      <c r="D87" s="7" t="n">
        <v>650</v>
      </c>
      <c r="E87" s="7" t="n">
        <v>1050</v>
      </c>
      <c r="F87" s="8">
        <f>AVERAGE(D87:E87)</f>
        <v/>
      </c>
      <c r="G87" s="9" t="n">
        <v>75</v>
      </c>
      <c r="H87" s="9" t="n">
        <v>105</v>
      </c>
      <c r="I87" s="10">
        <f>AVERAGE(G87:H87)</f>
        <v/>
      </c>
      <c r="J87" s="9" t="n">
        <v>33</v>
      </c>
      <c r="K87" s="9" t="n">
        <v>63</v>
      </c>
      <c r="L87" s="10">
        <f>AVERAGE(J87:K87)</f>
        <v/>
      </c>
      <c r="M87" s="5" t="inlineStr">
        <is>
          <t>logged</t>
        </is>
      </c>
      <c r="N87" s="6" t="inlineStr">
        <is>
          <t>Restaurant dinner at Panoor; closing scoop not taken</t>
        </is>
      </c>
    </row>
    <row r="88">
      <c r="A88" s="4" t="n">
        <v>46285</v>
      </c>
      <c r="B88" s="5" t="inlineStr">
        <is>
          <t>Drink</t>
        </is>
      </c>
      <c r="C88" s="6" t="inlineStr">
        <is>
          <t>Mint juice (small cup)</t>
        </is>
      </c>
      <c r="D88" s="7" t="n">
        <v>60</v>
      </c>
      <c r="E88" s="7" t="n">
        <v>140</v>
      </c>
      <c r="F88" s="8">
        <f>AVERAGE(D88:E88)</f>
        <v/>
      </c>
      <c r="G88" s="9" t="n">
        <v>0</v>
      </c>
      <c r="H88" s="9" t="n">
        <v>0.5</v>
      </c>
      <c r="I88" s="10">
        <f>AVERAGE(G88:H88)</f>
        <v/>
      </c>
      <c r="J88" s="9" t="n">
        <v>0</v>
      </c>
      <c r="K88" s="9" t="n">
        <v>0.5</v>
      </c>
      <c r="L88" s="10">
        <f>AVERAGE(J88:K88)</f>
        <v/>
      </c>
      <c r="M88" s="5" t="inlineStr">
        <is>
          <t>logged</t>
        </is>
      </c>
      <c r="N88" s="6" t="inlineStr">
        <is>
          <t>Assumed sweetened - if unsweetened it is nearer 15 kcal</t>
        </is>
      </c>
    </row>
    <row r="89">
      <c r="A89" s="4" t="n">
        <v>46285</v>
      </c>
      <c r="B89" s="5" t="inlineStr">
        <is>
          <t>Lunch</t>
        </is>
      </c>
      <c r="C89" s="6" t="inlineStr">
        <is>
          <t>Ghee rice (halved) + chicken curry + curd</t>
        </is>
      </c>
      <c r="D89" s="7" t="n">
        <v>490</v>
      </c>
      <c r="E89" s="7" t="n">
        <v>710</v>
      </c>
      <c r="F89" s="8">
        <f>AVERAGE(D89:E89)</f>
        <v/>
      </c>
      <c r="G89" s="9" t="n">
        <v>26</v>
      </c>
      <c r="H89" s="9" t="n">
        <v>36</v>
      </c>
      <c r="I89" s="10">
        <f>AVERAGE(G89:H89)</f>
        <v/>
      </c>
      <c r="J89" s="9" t="n">
        <v>21</v>
      </c>
      <c r="K89" s="9" t="n">
        <v>36</v>
      </c>
      <c r="L89" s="10">
        <f>AVERAGE(J89:K89)</f>
        <v/>
      </c>
      <c r="M89" s="5" t="inlineStr">
        <is>
          <t>logged</t>
        </is>
      </c>
      <c r="N89" s="6" t="inlineStr">
        <is>
          <t>Rice halved despite the day having room for it</t>
        </is>
      </c>
    </row>
    <row r="90">
      <c r="A90" s="4" t="n">
        <v>46285</v>
      </c>
      <c r="B90" s="5" t="inlineStr">
        <is>
          <t>Snack</t>
        </is>
      </c>
      <c r="C90" s="6" t="inlineStr">
        <is>
          <t>1 parippu vada + milk coffee (no sugar)</t>
        </is>
      </c>
      <c r="D90" s="7" t="n">
        <v>170</v>
      </c>
      <c r="E90" s="7" t="n">
        <v>280</v>
      </c>
      <c r="F90" s="8">
        <f>AVERAGE(D90:E90)</f>
        <v/>
      </c>
      <c r="G90" s="9" t="n">
        <v>7</v>
      </c>
      <c r="H90" s="9" t="n">
        <v>10.5</v>
      </c>
      <c r="I90" s="10">
        <f>AVERAGE(G90:H90)</f>
        <v/>
      </c>
      <c r="J90" s="9" t="n">
        <v>9</v>
      </c>
      <c r="K90" s="9" t="n">
        <v>16</v>
      </c>
      <c r="L90" s="10">
        <f>AVERAGE(J90:K90)</f>
        <v/>
      </c>
      <c r="M90" s="5" t="inlineStr">
        <is>
          <t>logged</t>
        </is>
      </c>
      <c r="N90" s="6" t="inlineStr">
        <is>
          <t>First milk coffee logged - black coffee is ~2 kcal against this ~60</t>
        </is>
      </c>
    </row>
    <row r="91">
      <c r="A91" s="4" t="n">
        <v>46285</v>
      </c>
      <c r="B91" s="5" t="inlineStr">
        <is>
          <t>Snack</t>
        </is>
      </c>
      <c r="C91" s="6" t="inlineStr">
        <is>
          <t>1 small stuffed squid (pan-fried)</t>
        </is>
      </c>
      <c r="D91" s="7" t="n">
        <v>130</v>
      </c>
      <c r="E91" s="7" t="n">
        <v>200</v>
      </c>
      <c r="F91" s="8">
        <f>AVERAGE(D91:E91)</f>
        <v/>
      </c>
      <c r="G91" s="9" t="n">
        <v>10</v>
      </c>
      <c r="H91" s="9" t="n">
        <v>14</v>
      </c>
      <c r="I91" s="10">
        <f>AVERAGE(G91:H91)</f>
        <v/>
      </c>
      <c r="J91" s="9" t="n">
        <v>8</v>
      </c>
      <c r="K91" s="9" t="n">
        <v>15</v>
      </c>
      <c r="L91" s="10">
        <f>AVERAGE(J91:K91)</f>
        <v/>
      </c>
      <c r="M91" s="5" t="inlineStr">
        <is>
          <t>logged</t>
        </is>
      </c>
      <c r="N91" s="6" t="inlineStr">
        <is>
          <t>7.3 g protein per 100 kcal - double the mess average</t>
        </is>
      </c>
    </row>
    <row r="92">
      <c r="A92" s="4" t="n">
        <v>46285</v>
      </c>
      <c r="B92" s="5" t="inlineStr">
        <is>
          <t>Snack</t>
        </is>
      </c>
      <c r="C92" s="6" t="inlineStr">
        <is>
          <t>Clear soup (one spoonful only)</t>
        </is>
      </c>
      <c r="D92" s="7" t="n">
        <v>5</v>
      </c>
      <c r="E92" s="7" t="n">
        <v>12</v>
      </c>
      <c r="F92" s="8">
        <f>AVERAGE(D92:E92)</f>
        <v/>
      </c>
      <c r="G92" s="9" t="n">
        <v>0</v>
      </c>
      <c r="H92" s="9" t="n">
        <v>0.5</v>
      </c>
      <c r="I92" s="10">
        <f>AVERAGE(G92:H92)</f>
        <v/>
      </c>
      <c r="J92" s="9" t="n">
        <v>0</v>
      </c>
      <c r="K92" s="9" t="n">
        <v>0.5</v>
      </c>
      <c r="L92" s="10">
        <f>AVERAGE(J92:K92)</f>
        <v/>
      </c>
      <c r="M92" s="5" t="inlineStr">
        <is>
          <t>logged</t>
        </is>
      </c>
      <c r="N92" s="6" t="inlineStr">
        <is>
          <t>Corrected - only a spoonful was taken</t>
        </is>
      </c>
    </row>
    <row r="93">
      <c r="A93" s="4" t="n">
        <v>46285</v>
      </c>
      <c r="B93" s="5" t="inlineStr">
        <is>
          <t>Snack</t>
        </is>
      </c>
      <c r="C93" s="6" t="inlineStr">
        <is>
          <t>Brooklyn Creamery guilt-free gelato - coconut creme (1 serving)</t>
        </is>
      </c>
      <c r="D93" s="7" t="n">
        <v>80</v>
      </c>
      <c r="E93" s="7" t="n">
        <v>95</v>
      </c>
      <c r="F93" s="8">
        <f>AVERAGE(D93:E93)</f>
        <v/>
      </c>
      <c r="G93" s="9" t="n">
        <v>1</v>
      </c>
      <c r="H93" s="9" t="n">
        <v>3</v>
      </c>
      <c r="I93" s="10">
        <f>AVERAGE(G93:H93)</f>
        <v/>
      </c>
      <c r="J93" s="9" t="n">
        <v>2.5</v>
      </c>
      <c r="K93" s="9" t="n">
        <v>4.5</v>
      </c>
      <c r="L93" s="10">
        <f>AVERAGE(J93:K93)</f>
        <v/>
      </c>
      <c r="M93" s="5" t="inlineStr">
        <is>
          <t>logged</t>
        </is>
      </c>
      <c r="N93" s="6" t="inlineStr">
        <is>
          <t>86 kcal is per serving; a 500 ml tub is about 4 servings</t>
        </is>
      </c>
    </row>
    <row r="94">
      <c r="A94" s="4" t="n">
        <v>46286</v>
      </c>
      <c r="B94" s="5" t="inlineStr">
        <is>
          <t>Breakfast</t>
        </is>
      </c>
      <c r="C94" s="6" t="inlineStr">
        <is>
          <t>2 poori + potato bhaji</t>
        </is>
      </c>
      <c r="D94" s="7" t="n">
        <v>290</v>
      </c>
      <c r="E94" s="7" t="n">
        <v>420</v>
      </c>
      <c r="F94" s="8">
        <f>AVERAGE(D94:E94)</f>
        <v/>
      </c>
      <c r="G94" s="9" t="n">
        <v>7</v>
      </c>
      <c r="H94" s="9" t="n">
        <v>10</v>
      </c>
      <c r="I94" s="10">
        <f>AVERAGE(G94:H94)</f>
        <v/>
      </c>
      <c r="J94" s="9" t="n">
        <v>14</v>
      </c>
      <c r="K94" s="9" t="n">
        <v>24</v>
      </c>
      <c r="L94" s="10">
        <f>AVERAGE(J94:K94)</f>
        <v/>
      </c>
      <c r="M94" s="5" t="inlineStr">
        <is>
          <t>logged</t>
        </is>
      </c>
      <c r="N94" s="6" t="inlineStr">
        <is>
          <t>Monday mess breakfast as served</t>
        </is>
      </c>
    </row>
    <row r="95">
      <c r="A95" s="4" t="n">
        <v>46286</v>
      </c>
      <c r="B95" s="5" t="inlineStr">
        <is>
          <t>Dinner</t>
        </is>
      </c>
      <c r="C95" s="6" t="inlineStr">
        <is>
          <t>Half grilled chicken + 2 chapati + chicken curry + salad + creamy garlic sauce</t>
        </is>
      </c>
      <c r="D95" s="7" t="n">
        <v>865</v>
      </c>
      <c r="E95" s="7" t="n">
        <v>1310</v>
      </c>
      <c r="F95" s="8">
        <f>AVERAGE(D95:E95)</f>
        <v/>
      </c>
      <c r="G95" s="9" t="n">
        <v>67</v>
      </c>
      <c r="H95" s="9" t="n">
        <v>92</v>
      </c>
      <c r="I95" s="10">
        <f>AVERAGE(G95:H95)</f>
        <v/>
      </c>
      <c r="J95" s="9" t="n">
        <v>46</v>
      </c>
      <c r="K95" s="9" t="n">
        <v>78.5</v>
      </c>
      <c r="L95" s="10">
        <f>AVERAGE(J95:K95)</f>
        <v/>
      </c>
      <c r="M95" s="5" t="inlineStr">
        <is>
          <t>logged</t>
        </is>
      </c>
      <c r="N95" s="6" t="inlineStr">
        <is>
          <t>Fries and kubboos skipped - saves ~400-600 kcal</t>
        </is>
      </c>
    </row>
    <row r="96">
      <c r="A96" s="4" t="n">
        <v>46286</v>
      </c>
      <c r="B96" s="5" t="inlineStr">
        <is>
          <t>Lunch</t>
        </is>
      </c>
      <c r="C96" s="6" t="inlineStr">
        <is>
          <t>Mess meals plate + 1-egg omelette roll, 2 pappadam, sambar, kadala, chammanthi, veg curry</t>
        </is>
      </c>
      <c r="D96" s="7" t="n">
        <v>750</v>
      </c>
      <c r="E96" s="7" t="n">
        <v>1160</v>
      </c>
      <c r="F96" s="8">
        <f>AVERAGE(D96:E96)</f>
        <v/>
      </c>
      <c r="G96" s="9" t="n">
        <v>25</v>
      </c>
      <c r="H96" s="9" t="n">
        <v>37</v>
      </c>
      <c r="I96" s="10">
        <f>AVERAGE(G96:H96)</f>
        <v/>
      </c>
      <c r="J96" s="9" t="n">
        <v>31.5</v>
      </c>
      <c r="K96" s="9" t="n">
        <v>55</v>
      </c>
      <c r="L96" s="10">
        <f>AVERAGE(J96:K96)</f>
        <v/>
      </c>
      <c r="M96" s="5" t="inlineStr">
        <is>
          <t>logged</t>
        </is>
      </c>
      <c r="N96" s="6" t="inlineStr">
        <is>
          <t>Rice not stated as halved - costed as a near-full portion</t>
        </is>
      </c>
    </row>
    <row r="97">
      <c r="A97" s="4" t="n">
        <v>46286</v>
      </c>
      <c r="B97" s="5" t="inlineStr">
        <is>
          <t>Lunch</t>
        </is>
      </c>
      <c r="C97" s="6" t="inlineStr">
        <is>
          <t>Rasam (small container)</t>
        </is>
      </c>
      <c r="D97" s="7" t="n">
        <v>25</v>
      </c>
      <c r="E97" s="7" t="n">
        <v>50</v>
      </c>
      <c r="F97" s="8">
        <f>AVERAGE(D97:E97)</f>
        <v/>
      </c>
      <c r="G97" s="9" t="n">
        <v>1</v>
      </c>
      <c r="H97" s="9" t="n">
        <v>2</v>
      </c>
      <c r="I97" s="10">
        <f>AVERAGE(G97:H97)</f>
        <v/>
      </c>
      <c r="J97" s="9" t="n">
        <v>1</v>
      </c>
      <c r="K97" s="9" t="n">
        <v>3</v>
      </c>
      <c r="L97" s="10">
        <f>AVERAGE(J97:K97)</f>
        <v/>
      </c>
      <c r="M97" s="5" t="inlineStr">
        <is>
          <t>logged</t>
        </is>
      </c>
      <c r="N97" s="6" t="inlineStr">
        <is>
          <t>Thin tamarind broth - the cheapest item in the container set</t>
        </is>
      </c>
    </row>
    <row r="98">
      <c r="A98" s="4" t="n">
        <v>46287</v>
      </c>
      <c r="B98" s="5" t="inlineStr">
        <is>
          <t>Breakfast</t>
        </is>
      </c>
      <c r="C98" s="6" t="inlineStr">
        <is>
          <t>Large masala dosa + sambar</t>
        </is>
      </c>
      <c r="D98" s="7" t="n">
        <v>410</v>
      </c>
      <c r="E98" s="7" t="n">
        <v>600</v>
      </c>
      <c r="F98" s="8">
        <f>AVERAGE(D98:E98)</f>
        <v/>
      </c>
      <c r="G98" s="9" t="n">
        <v>10</v>
      </c>
      <c r="H98" s="9" t="n">
        <v>15</v>
      </c>
      <c r="I98" s="10">
        <f>AVERAGE(G98:H98)</f>
        <v/>
      </c>
      <c r="J98" s="9" t="n">
        <v>17</v>
      </c>
      <c r="K98" s="9" t="n">
        <v>31</v>
      </c>
      <c r="L98" s="10">
        <f>AVERAGE(J98:K98)</f>
        <v/>
      </c>
      <c r="M98" s="5" t="inlineStr">
        <is>
          <t>logged</t>
        </is>
      </c>
      <c r="N98" s="6" t="inlineStr">
        <is>
          <t>Tuesday mess breakfast</t>
        </is>
      </c>
    </row>
    <row r="99">
      <c r="A99" s="4" t="n">
        <v>46287</v>
      </c>
      <c r="B99" s="5" t="inlineStr">
        <is>
          <t>Dinner</t>
        </is>
      </c>
      <c r="C99" s="6" t="inlineStr">
        <is>
          <t>Quarter grilled chicken + green peas curry + 1 chapati + salad</t>
        </is>
      </c>
      <c r="D99" s="7" t="n">
        <v>545</v>
      </c>
      <c r="E99" s="7" t="n">
        <v>810</v>
      </c>
      <c r="F99" s="8">
        <f>AVERAGE(D99:E99)</f>
        <v/>
      </c>
      <c r="G99" s="9" t="n">
        <v>44.5</v>
      </c>
      <c r="H99" s="9" t="n">
        <v>59</v>
      </c>
      <c r="I99" s="10">
        <f>AVERAGE(G99:H99)</f>
        <v/>
      </c>
      <c r="J99" s="9" t="n">
        <v>23.5</v>
      </c>
      <c r="K99" s="9" t="n">
        <v>40</v>
      </c>
      <c r="L99" s="10">
        <f>AVERAGE(J99:K99)</f>
        <v/>
      </c>
      <c r="M99" s="5" t="inlineStr">
        <is>
          <t>logged</t>
        </is>
      </c>
      <c r="N99" s="6" t="inlineStr">
        <is>
          <t>Grilled chicken added to the mess dinner; 1 chapati not 2; creamy sauce container not counted</t>
        </is>
      </c>
    </row>
    <row r="100">
      <c r="A100" s="4" t="n">
        <v>46287</v>
      </c>
      <c r="B100" s="5" t="inlineStr">
        <is>
          <t>Lunch</t>
        </is>
      </c>
      <c r="C100" s="6" t="inlineStr">
        <is>
          <t>Ghee rice (halved) + chicken curry + raita</t>
        </is>
      </c>
      <c r="D100" s="7" t="n">
        <v>490</v>
      </c>
      <c r="E100" s="7" t="n">
        <v>710</v>
      </c>
      <c r="F100" s="8">
        <f>AVERAGE(D100:E100)</f>
        <v/>
      </c>
      <c r="G100" s="9" t="n">
        <v>26</v>
      </c>
      <c r="H100" s="9" t="n">
        <v>36</v>
      </c>
      <c r="I100" s="10">
        <f>AVERAGE(G100:H100)</f>
        <v/>
      </c>
      <c r="J100" s="9" t="n">
        <v>21</v>
      </c>
      <c r="K100" s="9" t="n">
        <v>36</v>
      </c>
      <c r="L100" s="10">
        <f>AVERAGE(J100:K100)</f>
        <v/>
      </c>
      <c r="M100" s="5" t="inlineStr">
        <is>
          <t>logged</t>
        </is>
      </c>
      <c r="N100" s="6" t="inlineStr">
        <is>
          <t>Rice halved; generous chicken portion</t>
        </is>
      </c>
    </row>
    <row r="101">
      <c r="A101" s="4" t="n">
        <v>46288</v>
      </c>
      <c r="B101" s="5" t="inlineStr">
        <is>
          <t>Breakfast</t>
        </is>
      </c>
      <c r="C101" s="6" t="inlineStr">
        <is>
          <t>Large plain dosa + sambar + red chutney (white chutney skipped)</t>
        </is>
      </c>
      <c r="D101" s="7" t="n">
        <v>400</v>
      </c>
      <c r="E101" s="7" t="n">
        <v>620</v>
      </c>
      <c r="F101" s="8">
        <f>AVERAGE(D101:E101)</f>
        <v/>
      </c>
      <c r="G101" s="9" t="n">
        <v>10</v>
      </c>
      <c r="H101" s="9" t="n">
        <v>16</v>
      </c>
      <c r="I101" s="10">
        <f>AVERAGE(G101:H101)</f>
        <v/>
      </c>
      <c r="J101" s="9" t="n">
        <v>17</v>
      </c>
      <c r="K101" s="9" t="n">
        <v>33</v>
      </c>
      <c r="L101" s="10">
        <f>AVERAGE(J101:K101)</f>
        <v/>
      </c>
      <c r="M101" s="5" t="inlineStr">
        <is>
          <t>logged</t>
        </is>
      </c>
      <c r="N101" s="6" t="inlineStr">
        <is>
          <t>Plain rather than masala - no potato filling; tenth skip of the white chutney</t>
        </is>
      </c>
    </row>
    <row r="102">
      <c r="A102" s="4" t="n">
        <v>46288</v>
      </c>
      <c r="B102" s="5" t="inlineStr">
        <is>
          <t>Dinner</t>
        </is>
      </c>
      <c r="C102" s="6" t="inlineStr">
        <is>
          <t>2 chapati + chicken curry (2 small pieces)</t>
        </is>
      </c>
      <c r="D102" s="7" t="n">
        <v>380</v>
      </c>
      <c r="E102" s="7" t="n">
        <v>540</v>
      </c>
      <c r="F102" s="8">
        <f>AVERAGE(D102:E102)</f>
        <v/>
      </c>
      <c r="G102" s="9" t="n">
        <v>20</v>
      </c>
      <c r="H102" s="9" t="n">
        <v>28</v>
      </c>
      <c r="I102" s="10">
        <f>AVERAGE(G102:H102)</f>
        <v/>
      </c>
      <c r="J102" s="9" t="n">
        <v>16</v>
      </c>
      <c r="K102" s="9" t="n">
        <v>26</v>
      </c>
      <c r="L102" s="10">
        <f>AVERAGE(J102:K102)</f>
        <v/>
      </c>
      <c r="M102" s="5" t="inlineStr">
        <is>
          <t>logged</t>
        </is>
      </c>
      <c r="N102" s="6" t="inlineStr">
        <is>
          <t>Small chicken portion; gravy poured over both chapati</t>
        </is>
      </c>
    </row>
    <row r="103">
      <c r="A103" s="4" t="n">
        <v>46288</v>
      </c>
      <c r="B103" s="5" t="inlineStr">
        <is>
          <t>Lunch</t>
        </is>
      </c>
      <c r="C103" s="6" t="inlineStr">
        <is>
          <t>Mess meals plate + 2-egg omelette, pappadam, veg curry, chammanthi, pickle</t>
        </is>
      </c>
      <c r="D103" s="7" t="n">
        <v>630</v>
      </c>
      <c r="E103" s="7" t="n">
        <v>940</v>
      </c>
      <c r="F103" s="8">
        <f>AVERAGE(D103:E103)</f>
        <v/>
      </c>
      <c r="G103" s="9" t="n">
        <v>23</v>
      </c>
      <c r="H103" s="9" t="n">
        <v>31</v>
      </c>
      <c r="I103" s="10">
        <f>AVERAGE(G103:H103)</f>
        <v/>
      </c>
      <c r="J103" s="9" t="n">
        <v>27.5</v>
      </c>
      <c r="K103" s="9" t="n">
        <v>45</v>
      </c>
      <c r="L103" s="10">
        <f>AVERAGE(J103:K103)</f>
        <v/>
      </c>
      <c r="M103" s="5" t="inlineStr">
        <is>
          <t>logged</t>
        </is>
      </c>
      <c r="N103" s="6" t="inlineStr">
        <is>
          <t>Plate only - three side containers not counted; rice not stated as halved</t>
        </is>
      </c>
    </row>
    <row r="104">
      <c r="A104" s="4" t="n">
        <v>46288</v>
      </c>
      <c r="B104" s="5" t="inlineStr">
        <is>
          <t>Snack</t>
        </is>
      </c>
      <c r="C104" s="6" t="inlineStr">
        <is>
          <t>1-egg omelette</t>
        </is>
      </c>
      <c r="D104" s="7" t="n">
        <v>90</v>
      </c>
      <c r="E104" s="7" t="n">
        <v>140</v>
      </c>
      <c r="F104" s="8">
        <f>AVERAGE(D104:E104)</f>
        <v/>
      </c>
      <c r="G104" s="9" t="n">
        <v>6</v>
      </c>
      <c r="H104" s="9" t="n">
        <v>8</v>
      </c>
      <c r="I104" s="10">
        <f>AVERAGE(G104:H104)</f>
        <v/>
      </c>
      <c r="J104" s="9" t="n">
        <v>7</v>
      </c>
      <c r="K104" s="9" t="n">
        <v>11</v>
      </c>
      <c r="L104" s="10">
        <f>AVERAGE(J104:K104)</f>
        <v/>
      </c>
      <c r="M104" s="5" t="inlineStr">
        <is>
          <t>logged</t>
        </is>
      </c>
      <c r="N104" s="6" t="inlineStr">
        <is>
          <t>Second omelette of the day</t>
        </is>
      </c>
    </row>
    <row r="105">
      <c r="A105" s="4" t="n">
        <v>46289</v>
      </c>
      <c r="B105" s="5" t="inlineStr">
        <is>
          <t>Breakfast</t>
        </is>
      </c>
      <c r="C105" s="6" t="inlineStr">
        <is>
          <t>Large plain dosa + sambar + red chutney (white chutney skipped)</t>
        </is>
      </c>
      <c r="D105" s="7" t="n">
        <v>400</v>
      </c>
      <c r="E105" s="7" t="n">
        <v>620</v>
      </c>
      <c r="F105" s="8">
        <f>AVERAGE(D105:E105)</f>
        <v/>
      </c>
      <c r="G105" s="9" t="n">
        <v>10</v>
      </c>
      <c r="H105" s="9" t="n">
        <v>16</v>
      </c>
      <c r="I105" s="10">
        <f>AVERAGE(G105:H105)</f>
        <v/>
      </c>
      <c r="J105" s="9" t="n">
        <v>17</v>
      </c>
      <c r="K105" s="9" t="n">
        <v>33</v>
      </c>
      <c r="L105" s="10">
        <f>AVERAGE(J105:K105)</f>
        <v/>
      </c>
      <c r="M105" s="5" t="inlineStr">
        <is>
          <t>logged</t>
        </is>
      </c>
      <c r="N105" s="6" t="inlineStr">
        <is>
          <t>Plain dosa - not the menu's ghee roast; eleventh consecutive white chutney skip</t>
        </is>
      </c>
    </row>
    <row r="106">
      <c r="A106" s="4" t="n">
        <v>46289</v>
      </c>
      <c r="B106" s="5" t="inlineStr">
        <is>
          <t>Dinner</t>
        </is>
      </c>
      <c r="C106" s="6" t="inlineStr">
        <is>
          <t>Gobi chilly + 2 chapati</t>
        </is>
      </c>
      <c r="D106" s="7" t="n">
        <v>400</v>
      </c>
      <c r="E106" s="7" t="n">
        <v>560</v>
      </c>
      <c r="F106" s="8">
        <f>AVERAGE(D106:E106)</f>
        <v/>
      </c>
      <c r="G106" s="9" t="n">
        <v>11</v>
      </c>
      <c r="H106" s="9" t="n">
        <v>16</v>
      </c>
      <c r="I106" s="10">
        <f>AVERAGE(G106:H106)</f>
        <v/>
      </c>
      <c r="J106" s="9" t="n">
        <v>16</v>
      </c>
      <c r="K106" s="9" t="n">
        <v>28</v>
      </c>
      <c r="L106" s="10">
        <f>AVERAGE(J106:K106)</f>
        <v/>
      </c>
      <c r="M106" s="5" t="inlineStr">
        <is>
          <t>logged</t>
        </is>
      </c>
      <c r="N106" s="6" t="inlineStr">
        <is>
          <t>Thursday menu dinner as served; no meat on the menu</t>
        </is>
      </c>
    </row>
    <row r="107">
      <c r="A107" s="4" t="n">
        <v>46289</v>
      </c>
      <c r="B107" s="5" t="inlineStr">
        <is>
          <t>Lunch</t>
        </is>
      </c>
      <c r="C107" s="6" t="inlineStr">
        <is>
          <t>Mess meals plate - rice halved, pappadam, cabbage thoran, dal, curry gravy, 1 small chicken fry piece, small curd</t>
        </is>
      </c>
      <c r="D107" s="7" t="n">
        <v>570</v>
      </c>
      <c r="E107" s="7" t="n">
        <v>850</v>
      </c>
      <c r="F107" s="8">
        <f>AVERAGE(D107:E107)</f>
        <v/>
      </c>
      <c r="G107" s="9" t="n">
        <v>27</v>
      </c>
      <c r="H107" s="9" t="n">
        <v>40</v>
      </c>
      <c r="I107" s="10">
        <f>AVERAGE(G107:H107)</f>
        <v/>
      </c>
      <c r="J107" s="9" t="n">
        <v>22.5</v>
      </c>
      <c r="K107" s="9" t="n">
        <v>41</v>
      </c>
      <c r="L107" s="10">
        <f>AVERAGE(J107:K107)</f>
        <v/>
      </c>
      <c r="M107" s="5" t="inlineStr">
        <is>
          <t>logged</t>
        </is>
      </c>
      <c r="N107" s="6" t="inlineStr">
        <is>
          <t>Rice halved; chicken fry is the protein anchor on a menu day with no meat listed</t>
        </is>
      </c>
    </row>
    <row r="108">
      <c r="A108" s="4" t="n">
        <v>46289</v>
      </c>
      <c r="B108" s="5" t="inlineStr">
        <is>
          <t>Snack</t>
        </is>
      </c>
      <c r="C108" s="6" t="inlineStr">
        <is>
          <t>2 small pieces of beef from curry + 1 pazham pori</t>
        </is>
      </c>
      <c r="D108" s="7" t="n">
        <v>220</v>
      </c>
      <c r="E108" s="7" t="n">
        <v>330</v>
      </c>
      <c r="F108" s="8">
        <f>AVERAGE(D108:E108)</f>
        <v/>
      </c>
      <c r="G108" s="9" t="n">
        <v>10</v>
      </c>
      <c r="H108" s="9" t="n">
        <v>15</v>
      </c>
      <c r="I108" s="10">
        <f>AVERAGE(G108:H108)</f>
        <v/>
      </c>
      <c r="J108" s="9" t="n">
        <v>12</v>
      </c>
      <c r="K108" s="9" t="n">
        <v>20</v>
      </c>
      <c r="L108" s="10">
        <f>AVERAGE(J108:K108)</f>
        <v/>
      </c>
      <c r="M108" s="5" t="inlineStr">
        <is>
          <t>logged</t>
        </is>
      </c>
      <c r="N108" s="6" t="inlineStr">
        <is>
          <t>Pazham pori is deep-fried banana in batter; beef pieces are the only protein in the snack</t>
        </is>
      </c>
    </row>
    <row r="109">
      <c r="A109" s="4" t="n">
        <v>46290</v>
      </c>
      <c r="B109" s="5" t="inlineStr">
        <is>
          <t>Breakfast</t>
        </is>
      </c>
      <c r="C109" s="6" t="inlineStr">
        <is>
          <t>3 idli + sambar + red chutney (white chutney skipped)</t>
        </is>
      </c>
      <c r="D109" s="7" t="n">
        <v>280</v>
      </c>
      <c r="E109" s="7" t="n">
        <v>410</v>
      </c>
      <c r="F109" s="8">
        <f>AVERAGE(D109:E109)</f>
        <v/>
      </c>
      <c r="G109" s="9" t="n">
        <v>10</v>
      </c>
      <c r="H109" s="9" t="n">
        <v>13</v>
      </c>
      <c r="I109" s="10">
        <f>AVERAGE(G109:H109)</f>
        <v/>
      </c>
      <c r="J109" s="9" t="n">
        <v>6</v>
      </c>
      <c r="K109" s="9" t="n">
        <v>14</v>
      </c>
      <c r="L109" s="10">
        <f>AVERAGE(J109:K109)</f>
        <v/>
      </c>
      <c r="M109" s="5" t="inlineStr">
        <is>
          <t>logged</t>
        </is>
      </c>
      <c r="N109" s="6" t="inlineStr">
        <is>
          <t>Steamed not fried - cheapest breakfast on the weekly menu; twelfth consecutive white chutney skip</t>
        </is>
      </c>
    </row>
    <row r="110">
      <c r="A110" s="4" t="n">
        <v>46290</v>
      </c>
      <c r="B110" s="5" t="inlineStr">
        <is>
          <t>Dinner</t>
        </is>
      </c>
      <c r="C110" s="6" t="inlineStr">
        <is>
          <t>Half grilled chicken (skin removed) + small kubbus + kadala curry + veggies + hummus</t>
        </is>
      </c>
      <c r="D110" s="7" t="n">
        <v>830</v>
      </c>
      <c r="E110" s="7" t="n">
        <v>1360</v>
      </c>
      <c r="F110" s="8">
        <f>AVERAGE(D110:E110)</f>
        <v/>
      </c>
      <c r="G110" s="9" t="n">
        <v>78</v>
      </c>
      <c r="H110" s="9" t="n">
        <v>97</v>
      </c>
      <c r="I110" s="10">
        <f>AVERAGE(G110:H110)</f>
        <v/>
      </c>
      <c r="J110" s="9" t="n">
        <v>27</v>
      </c>
      <c r="K110" s="9" t="n">
        <v>61</v>
      </c>
      <c r="L110" s="10">
        <f>AVERAGE(J110:K110)</f>
        <v/>
      </c>
      <c r="M110" s="5" t="inlineStr">
        <is>
          <t>logged</t>
        </is>
      </c>
      <c r="N110" s="6" t="inlineStr">
        <is>
          <t>Skin removed - saves ~290 kcal and ~29 g fat for ~2 g protein</t>
        </is>
      </c>
    </row>
    <row r="111">
      <c r="A111" s="4" t="n">
        <v>46290</v>
      </c>
      <c r="B111" s="5" t="inlineStr">
        <is>
          <t>Lunch</t>
        </is>
      </c>
      <c r="C111" s="6" t="inlineStr">
        <is>
          <t>Chicken biriyani - rice halved, 2 chicken pieces, pappadam, salad/raita</t>
        </is>
      </c>
      <c r="D111" s="7" t="n">
        <v>550</v>
      </c>
      <c r="E111" s="7" t="n">
        <v>790</v>
      </c>
      <c r="F111" s="8">
        <f>AVERAGE(D111:E111)</f>
        <v/>
      </c>
      <c r="G111" s="9" t="n">
        <v>34</v>
      </c>
      <c r="H111" s="9" t="n">
        <v>50</v>
      </c>
      <c r="I111" s="10">
        <f>AVERAGE(G111:H111)</f>
        <v/>
      </c>
      <c r="J111" s="9" t="n">
        <v>23</v>
      </c>
      <c r="K111" s="9" t="n">
        <v>42</v>
      </c>
      <c r="L111" s="10">
        <f>AVERAGE(J111:K111)</f>
        <v/>
      </c>
      <c r="M111" s="5" t="inlineStr">
        <is>
          <t>logged</t>
        </is>
      </c>
      <c r="N111" s="6" t="inlineStr">
        <is>
          <t>Rice halved but both chicken pieces kept; 6.3 g protein per 100 kcal</t>
        </is>
      </c>
    </row>
    <row r="112">
      <c r="A112" s="4" t="n">
        <v>46290</v>
      </c>
      <c r="B112" s="5" t="inlineStr">
        <is>
          <t>Snack</t>
        </is>
      </c>
      <c r="C112" s="6" t="inlineStr">
        <is>
          <t>Black coffee + 1 whey scoop</t>
        </is>
      </c>
      <c r="D112" s="7" t="n">
        <v>100</v>
      </c>
      <c r="E112" s="7" t="n">
        <v>130</v>
      </c>
      <c r="F112" s="8">
        <f>AVERAGE(D112:E112)</f>
        <v/>
      </c>
      <c r="G112" s="9" t="n">
        <v>20</v>
      </c>
      <c r="H112" s="9" t="n">
        <v>25</v>
      </c>
      <c r="I112" s="10">
        <f>AVERAGE(G112:H112)</f>
        <v/>
      </c>
      <c r="J112" s="9" t="n">
        <v>1</v>
      </c>
      <c r="K112" s="9" t="n">
        <v>3</v>
      </c>
      <c r="L112" s="10">
        <f>AVERAGE(J112:K112)</f>
        <v/>
      </c>
      <c r="M112" s="5" t="inlineStr">
        <is>
          <t>logged</t>
        </is>
      </c>
      <c r="N112" s="6" t="inlineStr">
        <is>
          <t>Taken 1 hour before lunch - first scoop of the day placed before a meal rather than after dinner</t>
        </is>
      </c>
    </row>
    <row r="113">
      <c r="A113" s="4" t="n">
        <v>46290</v>
      </c>
      <c r="B113" s="5" t="inlineStr">
        <is>
          <t>Snack</t>
        </is>
      </c>
      <c r="C113" s="6" t="inlineStr">
        <is>
          <t>Black coffee + 1 whey scoop + a fist of walnuts (~30 g)</t>
        </is>
      </c>
      <c r="D113" s="7" t="n">
        <v>265</v>
      </c>
      <c r="E113" s="7" t="n">
        <v>360</v>
      </c>
      <c r="F113" s="8">
        <f>AVERAGE(D113:E113)</f>
        <v/>
      </c>
      <c r="G113" s="9" t="n">
        <v>24</v>
      </c>
      <c r="H113" s="9" t="n">
        <v>30.5</v>
      </c>
      <c r="I113" s="10">
        <f>AVERAGE(G113:H113)</f>
        <v/>
      </c>
      <c r="J113" s="9" t="n">
        <v>17</v>
      </c>
      <c r="K113" s="9" t="n">
        <v>26</v>
      </c>
      <c r="L113" s="10">
        <f>AVERAGE(J113:K113)</f>
        <v/>
      </c>
      <c r="M113" s="5" t="inlineStr">
        <is>
          <t>logged</t>
        </is>
      </c>
      <c r="N113" s="6" t="inlineStr">
        <is>
          <t>Second scoop of the day; walnuts are ~13 halves</t>
        </is>
      </c>
    </row>
    <row r="114">
      <c r="A114" s="4" t="n">
        <v>46291</v>
      </c>
      <c r="B114" s="5" t="inlineStr">
        <is>
          <t>Breakfast</t>
        </is>
      </c>
      <c r="C114" s="6" t="inlineStr">
        <is>
          <t>2 set dosa + sambar + red chutney (white chutney skipped)</t>
        </is>
      </c>
      <c r="D114" s="7" t="n">
        <v>390</v>
      </c>
      <c r="E114" s="7" t="n">
        <v>530</v>
      </c>
      <c r="F114" s="8">
        <f>AVERAGE(D114:E114)</f>
        <v/>
      </c>
      <c r="G114" s="9" t="n">
        <v>10</v>
      </c>
      <c r="H114" s="9" t="n">
        <v>14</v>
      </c>
      <c r="I114" s="10">
        <f>AVERAGE(G114:H114)</f>
        <v/>
      </c>
      <c r="J114" s="9" t="n">
        <v>11</v>
      </c>
      <c r="K114" s="9" t="n">
        <v>23</v>
      </c>
      <c r="L114" s="10">
        <f>AVERAGE(J114:K114)</f>
        <v/>
      </c>
      <c r="M114" s="5" t="inlineStr">
        <is>
          <t>logged</t>
        </is>
      </c>
      <c r="N114" s="6" t="inlineStr">
        <is>
          <t>Thirteenth consecutive white chutney skip</t>
        </is>
      </c>
    </row>
    <row r="115">
      <c r="A115" s="4" t="n">
        <v>46291</v>
      </c>
      <c r="B115" s="5" t="inlineStr">
        <is>
          <t>Dinner</t>
        </is>
      </c>
      <c r="C115" s="6" t="inlineStr">
        <is>
          <t>Half grilled chicken (skin removed) + chicken curry pieces only + chicken soup + rocket salad + hummus + 1 kubbus</t>
        </is>
      </c>
      <c r="D115" s="7" t="n">
        <v>925</v>
      </c>
      <c r="E115" s="7" t="n">
        <v>1420</v>
      </c>
      <c r="F115" s="8">
        <f>AVERAGE(D115:E115)</f>
        <v/>
      </c>
      <c r="G115" s="9" t="n">
        <v>91</v>
      </c>
      <c r="H115" s="9" t="n">
        <v>114</v>
      </c>
      <c r="I115" s="10">
        <f>AVERAGE(G115:H115)</f>
        <v/>
      </c>
      <c r="J115" s="9" t="n">
        <v>33</v>
      </c>
      <c r="K115" s="9" t="n">
        <v>59.5</v>
      </c>
      <c r="L115" s="10">
        <f>AVERAGE(J115:K115)</f>
        <v/>
      </c>
      <c r="M115" s="5" t="inlineStr">
        <is>
          <t>logged</t>
        </is>
      </c>
      <c r="N115" s="6" t="inlineStr">
        <is>
          <t>Skin removed and curry gravy left; second restaurant grill dinner in a row</t>
        </is>
      </c>
    </row>
    <row r="116">
      <c r="A116" s="4" t="n">
        <v>46291</v>
      </c>
      <c r="B116" s="5" t="inlineStr">
        <is>
          <t>Lunch</t>
        </is>
      </c>
      <c r="C116" s="6" t="inlineStr">
        <is>
          <t>Mess meals plate - rice halved, fish fry, pappadam, sambar, okra curry, cowpea thoran, beetroot pachadi, raita</t>
        </is>
      </c>
      <c r="D116" s="7" t="n">
        <v>710</v>
      </c>
      <c r="E116" s="7" t="n">
        <v>1050</v>
      </c>
      <c r="F116" s="8">
        <f>AVERAGE(D116:E116)</f>
        <v/>
      </c>
      <c r="G116" s="9" t="n">
        <v>35</v>
      </c>
      <c r="H116" s="9" t="n">
        <v>50</v>
      </c>
      <c r="I116" s="10">
        <f>AVERAGE(G116:H116)</f>
        <v/>
      </c>
      <c r="J116" s="9" t="n">
        <v>25</v>
      </c>
      <c r="K116" s="9" t="n">
        <v>46</v>
      </c>
      <c r="L116" s="10">
        <f>AVERAGE(J116:K116)</f>
        <v/>
      </c>
      <c r="M116" s="5" t="inlineStr">
        <is>
          <t>logged</t>
        </is>
      </c>
      <c r="N116" s="6" t="inlineStr">
        <is>
          <t>Rice halved; fish fry is the protein anchor at ~4.9 g per 100 kcal for the plate</t>
        </is>
      </c>
    </row>
    <row r="117">
      <c r="A117" s="4" t="n">
        <v>46291</v>
      </c>
      <c r="B117" s="5" t="inlineStr">
        <is>
          <t>Snack</t>
        </is>
      </c>
      <c r="C117" s="6" t="inlineStr">
        <is>
          <t>Black coffee + 1 whey scoop</t>
        </is>
      </c>
      <c r="D117" s="7" t="n">
        <v>100</v>
      </c>
      <c r="E117" s="7" t="n">
        <v>130</v>
      </c>
      <c r="F117" s="8">
        <f>AVERAGE(D117:E117)</f>
        <v/>
      </c>
      <c r="G117" s="9" t="n">
        <v>20</v>
      </c>
      <c r="H117" s="9" t="n">
        <v>25</v>
      </c>
      <c r="I117" s="10">
        <f>AVERAGE(G117:H117)</f>
        <v/>
      </c>
      <c r="J117" s="9" t="n">
        <v>1</v>
      </c>
      <c r="K117" s="9" t="n">
        <v>3</v>
      </c>
      <c r="L117" s="10">
        <f>AVERAGE(J117:K117)</f>
        <v/>
      </c>
      <c r="M117" s="5" t="inlineStr">
        <is>
          <t>logged</t>
        </is>
      </c>
      <c r="N117" s="6" t="inlineStr">
        <is>
          <t>Scoop 1 of the day</t>
        </is>
      </c>
    </row>
    <row r="118">
      <c r="A118" s="4" t="n">
        <v>46292</v>
      </c>
      <c r="B118" s="5" t="inlineStr">
        <is>
          <t>Breakfast</t>
        </is>
      </c>
      <c r="C118" s="6" t="inlineStr">
        <is>
          <t>1 porotta + kadala curry</t>
        </is>
      </c>
      <c r="D118" s="7" t="n">
        <v>360</v>
      </c>
      <c r="E118" s="7" t="n">
        <v>550</v>
      </c>
      <c r="F118" s="8">
        <f>AVERAGE(D118:E118)</f>
        <v/>
      </c>
      <c r="G118" s="9" t="n">
        <v>12</v>
      </c>
      <c r="H118" s="9" t="n">
        <v>16</v>
      </c>
      <c r="I118" s="10">
        <f>AVERAGE(G118:H118)</f>
        <v/>
      </c>
      <c r="J118" s="9" t="n">
        <v>19</v>
      </c>
      <c r="K118" s="9" t="n">
        <v>33</v>
      </c>
      <c r="L118" s="10">
        <f>AVERAGE(J118:K118)</f>
        <v/>
      </c>
      <c r="M118" s="5" t="inlineStr">
        <is>
          <t>logged</t>
        </is>
      </c>
      <c r="N118" s="6" t="inlineStr">
        <is>
          <t>One porotta rather than the menu's two - saves ~205 kcal</t>
        </is>
      </c>
    </row>
    <row r="119">
      <c r="A119" s="4" t="n">
        <v>46292</v>
      </c>
      <c r="B119" s="5" t="inlineStr">
        <is>
          <t>Dinner</t>
        </is>
      </c>
      <c r="C119" s="6" t="inlineStr">
        <is>
          <t>Half grilled chicken (skin removed) + hummus + 1 small kubbus + veggies</t>
        </is>
      </c>
      <c r="D119" s="7" t="n">
        <v>670</v>
      </c>
      <c r="E119" s="7" t="n">
        <v>1020</v>
      </c>
      <c r="F119" s="8">
        <f>AVERAGE(D119:E119)</f>
        <v/>
      </c>
      <c r="G119" s="9" t="n">
        <v>70.5</v>
      </c>
      <c r="H119" s="9" t="n">
        <v>84.5</v>
      </c>
      <c r="I119" s="10">
        <f>AVERAGE(G119:H119)</f>
        <v/>
      </c>
      <c r="J119" s="9" t="n">
        <v>25</v>
      </c>
      <c r="K119" s="9" t="n">
        <v>43</v>
      </c>
      <c r="L119" s="10">
        <f>AVERAGE(J119:K119)</f>
        <v/>
      </c>
      <c r="M119" s="5" t="inlineStr">
        <is>
          <t>logged</t>
        </is>
      </c>
      <c r="N119" s="6" t="inlineStr">
        <is>
          <t>Third restaurant grill dinner in a row but the leanest - no curry or soup alongside</t>
        </is>
      </c>
    </row>
    <row r="120">
      <c r="A120" s="4" t="n">
        <v>46292</v>
      </c>
      <c r="B120" s="5" t="inlineStr">
        <is>
          <t>Lunch</t>
        </is>
      </c>
      <c r="C120" s="6" t="inlineStr">
        <is>
          <t>Ghee rice (halved) + chicken curry</t>
        </is>
      </c>
      <c r="D120" s="7" t="n">
        <v>440</v>
      </c>
      <c r="E120" s="7" t="n">
        <v>660</v>
      </c>
      <c r="F120" s="8">
        <f>AVERAGE(D120:E120)</f>
        <v/>
      </c>
      <c r="G120" s="9" t="n">
        <v>24</v>
      </c>
      <c r="H120" s="9" t="n">
        <v>34</v>
      </c>
      <c r="I120" s="10">
        <f>AVERAGE(G120:H120)</f>
        <v/>
      </c>
      <c r="J120" s="9" t="n">
        <v>19</v>
      </c>
      <c r="K120" s="9" t="n">
        <v>33</v>
      </c>
      <c r="L120" s="10">
        <f>AVERAGE(J120:K120)</f>
        <v/>
      </c>
      <c r="M120" s="5" t="inlineStr">
        <is>
          <t>logged</t>
        </is>
      </c>
      <c r="N120" s="6" t="inlineStr">
        <is>
          <t>Rice halved - saves ~230 kcal against the menu's full portion</t>
        </is>
      </c>
    </row>
    <row r="121">
      <c r="A121" s="4" t="n">
        <v>46293</v>
      </c>
      <c r="B121" s="5" t="inlineStr">
        <is>
          <t>Breakfast</t>
        </is>
      </c>
      <c r="C121" s="6" t="inlineStr">
        <is>
          <t>Large plain dosa + sambar + red chutney (white chutney skipped)</t>
        </is>
      </c>
      <c r="D121" s="7" t="n">
        <v>400</v>
      </c>
      <c r="E121" s="7" t="n">
        <v>620</v>
      </c>
      <c r="F121" s="8">
        <f>AVERAGE(D121:E121)</f>
        <v/>
      </c>
      <c r="G121" s="9" t="n">
        <v>10</v>
      </c>
      <c r="H121" s="9" t="n">
        <v>16</v>
      </c>
      <c r="I121" s="10">
        <f>AVERAGE(G121:H121)</f>
        <v/>
      </c>
      <c r="J121" s="9" t="n">
        <v>17</v>
      </c>
      <c r="K121" s="9" t="n">
        <v>33</v>
      </c>
      <c r="L121" s="10">
        <f>AVERAGE(J121:K121)</f>
        <v/>
      </c>
      <c r="M121" s="5" t="inlineStr">
        <is>
          <t>logged</t>
        </is>
      </c>
      <c r="N121" s="6" t="inlineStr">
        <is>
          <t>Fourteenth consecutive white chutney skip; sambar poured over rather than served aside</t>
        </is>
      </c>
    </row>
    <row r="122">
      <c r="A122" s="4" t="n">
        <v>46293</v>
      </c>
      <c r="B122" s="5" t="inlineStr">
        <is>
          <t>Dinner</t>
        </is>
      </c>
      <c r="C122" s="6" t="inlineStr">
        <is>
          <t>2 chapati + chicken curry (2 pieces)</t>
        </is>
      </c>
      <c r="D122" s="7" t="n">
        <v>400</v>
      </c>
      <c r="E122" s="7" t="n">
        <v>570</v>
      </c>
      <c r="F122" s="8">
        <f>AVERAGE(D122:E122)</f>
        <v/>
      </c>
      <c r="G122" s="9" t="n">
        <v>21</v>
      </c>
      <c r="H122" s="9" t="n">
        <v>30</v>
      </c>
      <c r="I122" s="10">
        <f>AVERAGE(G122:H122)</f>
        <v/>
      </c>
      <c r="J122" s="9" t="n">
        <v>17</v>
      </c>
      <c r="K122" s="9" t="n">
        <v>28</v>
      </c>
      <c r="L122" s="10">
        <f>AVERAGE(J122:K122)</f>
        <v/>
      </c>
      <c r="M122" s="5" t="inlineStr">
        <is>
          <t>logged</t>
        </is>
      </c>
      <c r="N122" s="6" t="inlineStr">
        <is>
          <t>Menu dinner as served; reported the following morning</t>
        </is>
      </c>
    </row>
    <row r="123">
      <c r="A123" s="4" t="n">
        <v>46293</v>
      </c>
      <c r="B123" s="5" t="inlineStr">
        <is>
          <t>Lunch</t>
        </is>
      </c>
      <c r="C123" s="6" t="inlineStr">
        <is>
          <t>Mess meals plate - rice halved, fish fry, pappadam, sambar, fried item, green fritter, green gram thoran, eggplant, rasam</t>
        </is>
      </c>
      <c r="D123" s="7" t="n">
        <v>740</v>
      </c>
      <c r="E123" s="7" t="n">
        <v>1070</v>
      </c>
      <c r="F123" s="8">
        <f>AVERAGE(D123:E123)</f>
        <v/>
      </c>
      <c r="G123" s="9" t="n">
        <v>35</v>
      </c>
      <c r="H123" s="9" t="n">
        <v>50</v>
      </c>
      <c r="I123" s="10">
        <f>AVERAGE(G123:H123)</f>
        <v/>
      </c>
      <c r="J123" s="9" t="n">
        <v>30</v>
      </c>
      <c r="K123" s="9" t="n">
        <v>54</v>
      </c>
      <c r="L123" s="10">
        <f>AVERAGE(J123:K123)</f>
        <v/>
      </c>
      <c r="M123" s="5" t="inlineStr">
        <is>
          <t>logged</t>
        </is>
      </c>
      <c r="N123" s="6" t="inlineStr">
        <is>
          <t>Rice halved; fish fry added after correction - lifts the plate to ~4.7 g protein per 100 kcal</t>
        </is>
      </c>
    </row>
    <row r="124">
      <c r="A124" s="4" t="n">
        <v>46293</v>
      </c>
      <c r="B124" s="5" t="inlineStr">
        <is>
          <t>Snack</t>
        </is>
      </c>
      <c r="C124" s="6" t="inlineStr">
        <is>
          <t>1 laddoo</t>
        </is>
      </c>
      <c r="D124" s="7" t="n">
        <v>190</v>
      </c>
      <c r="E124" s="7" t="n">
        <v>280</v>
      </c>
      <c r="F124" s="8">
        <f>AVERAGE(D124:E124)</f>
        <v/>
      </c>
      <c r="G124" s="9" t="n">
        <v>3</v>
      </c>
      <c r="H124" s="9" t="n">
        <v>5</v>
      </c>
      <c r="I124" s="10">
        <f>AVERAGE(G124:H124)</f>
        <v/>
      </c>
      <c r="J124" s="9" t="n">
        <v>9</v>
      </c>
      <c r="K124" s="9" t="n">
        <v>16</v>
      </c>
      <c r="L124" s="10">
        <f>AVERAGE(J124:K124)</f>
        <v/>
      </c>
      <c r="M124" s="5" t="inlineStr">
        <is>
          <t>logged</t>
        </is>
      </c>
      <c r="N124" s="6" t="inlineStr">
        <is>
          <t>Besan/rava laddoo ~50-55 g; 1.7 g protein per 100 kcal</t>
        </is>
      </c>
    </row>
    <row r="125">
      <c r="A125" s="4" t="n">
        <v>46294</v>
      </c>
      <c r="B125" s="5" t="inlineStr">
        <is>
          <t>Breakfast</t>
        </is>
      </c>
      <c r="C125" s="6" t="inlineStr">
        <is>
          <t>Large masala dosa + sambar + red chutney</t>
        </is>
      </c>
      <c r="D125" s="7" t="n">
        <v>450</v>
      </c>
      <c r="E125" s="7" t="n">
        <v>660</v>
      </c>
      <c r="F125" s="8">
        <f>AVERAGE(D125:E125)</f>
        <v/>
      </c>
      <c r="G125" s="9" t="n">
        <v>11</v>
      </c>
      <c r="H125" s="9" t="n">
        <v>17</v>
      </c>
      <c r="I125" s="10">
        <f>AVERAGE(G125:H125)</f>
        <v/>
      </c>
      <c r="J125" s="9" t="n">
        <v>18</v>
      </c>
      <c r="K125" s="9" t="n">
        <v>33</v>
      </c>
      <c r="L125" s="10">
        <f>AVERAGE(J125:K125)</f>
        <v/>
      </c>
      <c r="M125" s="5" t="inlineStr">
        <is>
          <t>logged</t>
        </is>
      </c>
      <c r="N125" s="6" t="inlineStr">
        <is>
          <t>Tuesday menu breakfast as served</t>
        </is>
      </c>
    </row>
    <row r="126">
      <c r="A126" s="4" t="n">
        <v>46294</v>
      </c>
      <c r="B126" s="5" t="inlineStr">
        <is>
          <t>Lunch</t>
        </is>
      </c>
      <c r="C126" s="6" t="inlineStr">
        <is>
          <t>Half ghee rice + green peas curry + 400 g boiled chicken (no oil) + chicken broth</t>
        </is>
      </c>
      <c r="D126" s="7" t="n">
        <v>990</v>
      </c>
      <c r="E126" s="7" t="n">
        <v>1390</v>
      </c>
      <c r="F126" s="8">
        <f>AVERAGE(D126:E126)</f>
        <v/>
      </c>
      <c r="G126" s="9" t="n">
        <v>114</v>
      </c>
      <c r="H126" s="9" t="n">
        <v>146</v>
      </c>
      <c r="I126" s="10">
        <f>AVERAGE(G126:H126)</f>
        <v/>
      </c>
      <c r="J126" s="9" t="n">
        <v>22</v>
      </c>
      <c r="K126" s="9" t="n">
        <v>48</v>
      </c>
      <c r="L126" s="10">
        <f>AVERAGE(J126:K126)</f>
        <v/>
      </c>
      <c r="M126" s="5" t="inlineStr">
        <is>
          <t>logged</t>
        </is>
      </c>
      <c r="N126" s="6" t="inlineStr">
        <is>
          <t>Boiled chicken with no oil at ~17.5 g protein per 100 kcal - highest-density whole food logged</t>
        </is>
      </c>
    </row>
    <row r="127">
      <c r="A127" s="4" t="n">
        <v>46295</v>
      </c>
      <c r="B127" s="5" t="inlineStr">
        <is>
          <t>Breakfast</t>
        </is>
      </c>
      <c r="C127" s="6" t="inlineStr">
        <is>
          <t>2 set dosa + sambar + red chutney</t>
        </is>
      </c>
      <c r="D127" s="7" t="n">
        <v>390</v>
      </c>
      <c r="E127" s="7" t="n">
        <v>530</v>
      </c>
      <c r="F127" s="8">
        <f>AVERAGE(D127:E127)</f>
        <v/>
      </c>
      <c r="G127" s="9" t="n">
        <v>10</v>
      </c>
      <c r="H127" s="9" t="n">
        <v>14</v>
      </c>
      <c r="I127" s="10">
        <f>AVERAGE(G127:H127)</f>
        <v/>
      </c>
      <c r="J127" s="9" t="n">
        <v>11</v>
      </c>
      <c r="K127" s="9" t="n">
        <v>23</v>
      </c>
      <c r="L127" s="10">
        <f>AVERAGE(J127:K127)</f>
        <v/>
      </c>
      <c r="M127" s="5" t="inlineStr">
        <is>
          <t>logged</t>
        </is>
      </c>
      <c r="N127" s="6" t="inlineStr">
        <is>
          <t>Red chutney only - white chutney not taken</t>
        </is>
      </c>
    </row>
    <row r="128">
      <c r="A128" s="4" t="n">
        <v>46295</v>
      </c>
      <c r="B128" s="5" t="inlineStr">
        <is>
          <t>Dinner</t>
        </is>
      </c>
      <c r="C128" s="6" t="inlineStr">
        <is>
          <t>Mutton soup + boiled mutton pieces</t>
        </is>
      </c>
      <c r="D128" s="7" t="n">
        <v>700</v>
      </c>
      <c r="E128" s="7" t="n">
        <v>870</v>
      </c>
      <c r="F128" s="8">
        <f>AVERAGE(D128:E128)</f>
        <v/>
      </c>
      <c r="G128" s="9" t="n">
        <v>55</v>
      </c>
      <c r="H128" s="9" t="n">
        <v>65</v>
      </c>
      <c r="I128" s="10">
        <f>AVERAGE(G128:H128)</f>
        <v/>
      </c>
      <c r="J128" s="9" t="n">
        <v>55</v>
      </c>
      <c r="K128" s="9" t="n">
        <v>65</v>
      </c>
      <c r="L128" s="10">
        <f>AVERAGE(J128:K128)</f>
        <v/>
      </c>
      <c r="M128" s="5" t="inlineStr">
        <is>
          <t>logged</t>
        </is>
      </c>
      <c r="N128" s="6" t="inlineStr">
        <is>
          <t>Macros supplied by user rather than estimated from a photo</t>
        </is>
      </c>
    </row>
    <row r="129">
      <c r="A129" s="4" t="n">
        <v>46295</v>
      </c>
      <c r="B129" s="5" t="inlineStr">
        <is>
          <t>Lunch</t>
        </is>
      </c>
      <c r="C129" s="6" t="inlineStr">
        <is>
          <t>Lebanese mixed grill - 1 saj bread + grilled chicken, kofta and vegetables; no fries, no toum</t>
        </is>
      </c>
      <c r="D129" s="7" t="n">
        <v>520</v>
      </c>
      <c r="E129" s="7" t="n">
        <v>720</v>
      </c>
      <c r="F129" s="8">
        <f>AVERAGE(D129:E129)</f>
        <v/>
      </c>
      <c r="G129" s="9" t="n">
        <v>40</v>
      </c>
      <c r="H129" s="9" t="n">
        <v>55</v>
      </c>
      <c r="I129" s="10">
        <f>AVERAGE(G129:H129)</f>
        <v/>
      </c>
      <c r="J129" s="9" t="n">
        <v>20</v>
      </c>
      <c r="K129" s="9" t="n">
        <v>36</v>
      </c>
      <c r="L129" s="10">
        <f>AVERAGE(J129:K129)</f>
        <v/>
      </c>
      <c r="M129" s="5" t="inlineStr">
        <is>
          <t>logged</t>
        </is>
      </c>
      <c r="N129" s="6" t="inlineStr">
        <is>
          <t>Fries and garlic sauce both left; 7.7 g protein per 100 kcal</t>
        </is>
      </c>
    </row>
  </sheetData>
  <mergeCells count="1">
    <mergeCell ref="A2:N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showGridLines="0" workbookViewId="0">
      <pane ySplit="4" topLeftCell="A5" activePane="bottomLeft" state="frozen"/>
      <selection pane="bottomLeft" activeCell="A1" sqref="A1"/>
    </sheetView>
  </sheetViews>
  <sheetFormatPr baseColWidth="8" defaultRowHeight="15"/>
  <cols>
    <col width="12" customWidth="1" min="1" max="1"/>
    <col width="9" customWidth="1" min="2" max="2"/>
    <col width="9" customWidth="1" min="3" max="3"/>
    <col width="9" customWidth="1" min="4" max="4"/>
    <col width="11" customWidth="1" min="5" max="5"/>
    <col width="11" customWidth="1" min="6" max="6"/>
    <col width="11" customWidth="1" min="7" max="7"/>
    <col width="9" customWidth="1" min="8" max="8"/>
    <col width="9" customWidth="1" min="9" max="9"/>
    <col width="9" customWidth="1" min="10" max="10"/>
    <col width="12" customWidth="1" min="11" max="11"/>
    <col width="12" customWidth="1" min="12" max="12"/>
    <col width="14" customWidth="1" min="13" max="13"/>
  </cols>
  <sheetData>
    <row r="1">
      <c r="A1" s="1" t="inlineStr">
        <is>
          <t>Daily totals - logged meals only (pending rows excluded)</t>
        </is>
      </c>
    </row>
    <row r="2" ht="28" customHeight="1">
      <c r="A2" s="2" t="inlineStr">
        <is>
          <t>Every cell on this sheet is a formula over the Meals sheet. Do not type over them - correct the underlying meal row instead. Mid = midpoint of the low-high range, which is the number to use for trends.</t>
        </is>
      </c>
    </row>
    <row r="4">
      <c r="A4" s="3" t="inlineStr">
        <is>
          <t>Date</t>
        </is>
      </c>
      <c r="B4" s="3" t="inlineStr">
        <is>
          <t>Cal low</t>
        </is>
      </c>
      <c r="C4" s="3" t="inlineStr">
        <is>
          <t>Cal high</t>
        </is>
      </c>
      <c r="D4" s="3" t="inlineStr">
        <is>
          <t>Cal mid</t>
        </is>
      </c>
      <c r="E4" s="3" t="inlineStr">
        <is>
          <t>Protein low (g)</t>
        </is>
      </c>
      <c r="F4" s="3" t="inlineStr">
        <is>
          <t>Protein high (g)</t>
        </is>
      </c>
      <c r="G4" s="3" t="inlineStr">
        <is>
          <t>Protein mid (g)</t>
        </is>
      </c>
      <c r="H4" s="3" t="inlineStr">
        <is>
          <t>Fat low (g)</t>
        </is>
      </c>
      <c r="I4" s="3" t="inlineStr">
        <is>
          <t>Fat high (g)</t>
        </is>
      </c>
      <c r="J4" s="3" t="inlineStr">
        <is>
          <t>Fat mid (g)</t>
        </is>
      </c>
      <c r="K4" s="3" t="inlineStr">
        <is>
          <t>Meals logged</t>
        </is>
      </c>
      <c r="L4" s="3" t="inlineStr">
        <is>
          <t>Pending items</t>
        </is>
      </c>
      <c r="M4" s="3" t="inlineStr">
        <is>
          <t>vs target (mid)</t>
        </is>
      </c>
    </row>
    <row r="5">
      <c r="A5" s="18" t="n">
        <v>46269</v>
      </c>
      <c r="B5" s="8">
        <f>SUMIFS(Meals!$D$5:$D$129,Meals!$A$5:$A$129,$A5,Meals!$M$5:$M$129,"logged")</f>
        <v/>
      </c>
      <c r="C5" s="8">
        <f>SUMIFS(Meals!$E$5:$E$129,Meals!$A$5:$A$129,$A5,Meals!$M$5:$M$129,"logged")</f>
        <v/>
      </c>
      <c r="D5" s="8">
        <f>AVERAGE(B5:C5)</f>
        <v/>
      </c>
      <c r="E5" s="10">
        <f>SUMIFS(Meals!$G$5:$G$129,Meals!$A$5:$A$129,$A5,Meals!$M$5:$M$129,"logged")</f>
        <v/>
      </c>
      <c r="F5" s="10">
        <f>SUMIFS(Meals!$H$5:$H$129,Meals!$A$5:$A$129,$A5,Meals!$M$5:$M$129,"logged")</f>
        <v/>
      </c>
      <c r="G5" s="10">
        <f>AVERAGE(E5:F5)</f>
        <v/>
      </c>
      <c r="H5" s="10">
        <f>SUMIFS(Meals!$J$5:$J$129,Meals!$A$5:$A$129,$A5,Meals!$M$5:$M$129,"logged")</f>
        <v/>
      </c>
      <c r="I5" s="10">
        <f>SUMIFS(Meals!$K$5:$K$129,Meals!$A$5:$A$129,$A5,Meals!$M$5:$M$129,"logged")</f>
        <v/>
      </c>
      <c r="J5" s="10">
        <f>AVERAGE(H5:I5)</f>
        <v/>
      </c>
      <c r="K5" s="18">
        <f>COUNTIFS(Meals!$A$5:$A$129,$A5,Meals!$M$5:$M$129,"logged")</f>
        <v/>
      </c>
      <c r="L5" s="18">
        <f>COUNTIFS(Meals!$A$5:$A$129,$A5,Meals!$M$5:$M$129,"pending")</f>
        <v/>
      </c>
      <c r="M5" s="19">
        <f>D5-Targets!$B$16</f>
        <v/>
      </c>
    </row>
    <row r="6">
      <c r="A6" s="20" t="n">
        <v>46270</v>
      </c>
      <c r="B6" s="21">
        <f>SUMIFS(Meals!$D$5:$D$129,Meals!$A$5:$A$129,$A6,Meals!$M$5:$M$129,"logged")</f>
        <v/>
      </c>
      <c r="C6" s="21">
        <f>SUMIFS(Meals!$E$5:$E$129,Meals!$A$5:$A$129,$A6,Meals!$M$5:$M$129,"logged")</f>
        <v/>
      </c>
      <c r="D6" s="21">
        <f>AVERAGE(B6:C6)</f>
        <v/>
      </c>
      <c r="E6" s="22">
        <f>SUMIFS(Meals!$G$5:$G$129,Meals!$A$5:$A$129,$A6,Meals!$M$5:$M$129,"logged")</f>
        <v/>
      </c>
      <c r="F6" s="22">
        <f>SUMIFS(Meals!$H$5:$H$129,Meals!$A$5:$A$129,$A6,Meals!$M$5:$M$129,"logged")</f>
        <v/>
      </c>
      <c r="G6" s="22">
        <f>AVERAGE(E6:F6)</f>
        <v/>
      </c>
      <c r="H6" s="22">
        <f>SUMIFS(Meals!$J$5:$J$129,Meals!$A$5:$A$129,$A6,Meals!$M$5:$M$129,"logged")</f>
        <v/>
      </c>
      <c r="I6" s="22">
        <f>SUMIFS(Meals!$K$5:$K$129,Meals!$A$5:$A$129,$A6,Meals!$M$5:$M$129,"logged")</f>
        <v/>
      </c>
      <c r="J6" s="22">
        <f>AVERAGE(H6:I6)</f>
        <v/>
      </c>
      <c r="K6" s="20">
        <f>COUNTIFS(Meals!$A$5:$A$129,$A6,Meals!$M$5:$M$129,"logged")</f>
        <v/>
      </c>
      <c r="L6" s="20">
        <f>COUNTIFS(Meals!$A$5:$A$129,$A6,Meals!$M$5:$M$129,"pending")</f>
        <v/>
      </c>
      <c r="M6" s="23">
        <f>D6-Targets!$B$16</f>
        <v/>
      </c>
    </row>
    <row r="7">
      <c r="A7" s="18" t="n">
        <v>46271</v>
      </c>
      <c r="B7" s="8">
        <f>SUMIFS(Meals!$D$5:$D$129,Meals!$A$5:$A$129,$A7,Meals!$M$5:$M$129,"logged")</f>
        <v/>
      </c>
      <c r="C7" s="8">
        <f>SUMIFS(Meals!$E$5:$E$129,Meals!$A$5:$A$129,$A7,Meals!$M$5:$M$129,"logged")</f>
        <v/>
      </c>
      <c r="D7" s="8">
        <f>AVERAGE(B7:C7)</f>
        <v/>
      </c>
      <c r="E7" s="10">
        <f>SUMIFS(Meals!$G$5:$G$129,Meals!$A$5:$A$129,$A7,Meals!$M$5:$M$129,"logged")</f>
        <v/>
      </c>
      <c r="F7" s="10">
        <f>SUMIFS(Meals!$H$5:$H$129,Meals!$A$5:$A$129,$A7,Meals!$M$5:$M$129,"logged")</f>
        <v/>
      </c>
      <c r="G7" s="10">
        <f>AVERAGE(E7:F7)</f>
        <v/>
      </c>
      <c r="H7" s="10">
        <f>SUMIFS(Meals!$J$5:$J$129,Meals!$A$5:$A$129,$A7,Meals!$M$5:$M$129,"logged")</f>
        <v/>
      </c>
      <c r="I7" s="10">
        <f>SUMIFS(Meals!$K$5:$K$129,Meals!$A$5:$A$129,$A7,Meals!$M$5:$M$129,"logged")</f>
        <v/>
      </c>
      <c r="J7" s="10">
        <f>AVERAGE(H7:I7)</f>
        <v/>
      </c>
      <c r="K7" s="18">
        <f>COUNTIFS(Meals!$A$5:$A$129,$A7,Meals!$M$5:$M$129,"logged")</f>
        <v/>
      </c>
      <c r="L7" s="18">
        <f>COUNTIFS(Meals!$A$5:$A$129,$A7,Meals!$M$5:$M$129,"pending")</f>
        <v/>
      </c>
      <c r="M7" s="19">
        <f>D7-Targets!$B$16</f>
        <v/>
      </c>
    </row>
    <row r="8">
      <c r="A8" s="20" t="n">
        <v>46272</v>
      </c>
      <c r="B8" s="21">
        <f>SUMIFS(Meals!$D$5:$D$129,Meals!$A$5:$A$129,$A8,Meals!$M$5:$M$129,"logged")</f>
        <v/>
      </c>
      <c r="C8" s="21">
        <f>SUMIFS(Meals!$E$5:$E$129,Meals!$A$5:$A$129,$A8,Meals!$M$5:$M$129,"logged")</f>
        <v/>
      </c>
      <c r="D8" s="21">
        <f>AVERAGE(B8:C8)</f>
        <v/>
      </c>
      <c r="E8" s="22">
        <f>SUMIFS(Meals!$G$5:$G$129,Meals!$A$5:$A$129,$A8,Meals!$M$5:$M$129,"logged")</f>
        <v/>
      </c>
      <c r="F8" s="22">
        <f>SUMIFS(Meals!$H$5:$H$129,Meals!$A$5:$A$129,$A8,Meals!$M$5:$M$129,"logged")</f>
        <v/>
      </c>
      <c r="G8" s="22">
        <f>AVERAGE(E8:F8)</f>
        <v/>
      </c>
      <c r="H8" s="22">
        <f>SUMIFS(Meals!$J$5:$J$129,Meals!$A$5:$A$129,$A8,Meals!$M$5:$M$129,"logged")</f>
        <v/>
      </c>
      <c r="I8" s="22">
        <f>SUMIFS(Meals!$K$5:$K$129,Meals!$A$5:$A$129,$A8,Meals!$M$5:$M$129,"logged")</f>
        <v/>
      </c>
      <c r="J8" s="22">
        <f>AVERAGE(H8:I8)</f>
        <v/>
      </c>
      <c r="K8" s="20">
        <f>COUNTIFS(Meals!$A$5:$A$129,$A8,Meals!$M$5:$M$129,"logged")</f>
        <v/>
      </c>
      <c r="L8" s="20">
        <f>COUNTIFS(Meals!$A$5:$A$129,$A8,Meals!$M$5:$M$129,"pending")</f>
        <v/>
      </c>
      <c r="M8" s="23">
        <f>D8-Targets!$B$16</f>
        <v/>
      </c>
    </row>
    <row r="9">
      <c r="A9" s="18" t="n">
        <v>46273</v>
      </c>
      <c r="B9" s="8">
        <f>SUMIFS(Meals!$D$5:$D$129,Meals!$A$5:$A$129,$A9,Meals!$M$5:$M$129,"logged")</f>
        <v/>
      </c>
      <c r="C9" s="8">
        <f>SUMIFS(Meals!$E$5:$E$129,Meals!$A$5:$A$129,$A9,Meals!$M$5:$M$129,"logged")</f>
        <v/>
      </c>
      <c r="D9" s="8">
        <f>AVERAGE(B9:C9)</f>
        <v/>
      </c>
      <c r="E9" s="10">
        <f>SUMIFS(Meals!$G$5:$G$129,Meals!$A$5:$A$129,$A9,Meals!$M$5:$M$129,"logged")</f>
        <v/>
      </c>
      <c r="F9" s="10">
        <f>SUMIFS(Meals!$H$5:$H$129,Meals!$A$5:$A$129,$A9,Meals!$M$5:$M$129,"logged")</f>
        <v/>
      </c>
      <c r="G9" s="10">
        <f>AVERAGE(E9:F9)</f>
        <v/>
      </c>
      <c r="H9" s="10">
        <f>SUMIFS(Meals!$J$5:$J$129,Meals!$A$5:$A$129,$A9,Meals!$M$5:$M$129,"logged")</f>
        <v/>
      </c>
      <c r="I9" s="10">
        <f>SUMIFS(Meals!$K$5:$K$129,Meals!$A$5:$A$129,$A9,Meals!$M$5:$M$129,"logged")</f>
        <v/>
      </c>
      <c r="J9" s="10">
        <f>AVERAGE(H9:I9)</f>
        <v/>
      </c>
      <c r="K9" s="18">
        <f>COUNTIFS(Meals!$A$5:$A$129,$A9,Meals!$M$5:$M$129,"logged")</f>
        <v/>
      </c>
      <c r="L9" s="18">
        <f>COUNTIFS(Meals!$A$5:$A$129,$A9,Meals!$M$5:$M$129,"pending")</f>
        <v/>
      </c>
      <c r="M9" s="19">
        <f>D9-Targets!$B$16</f>
        <v/>
      </c>
    </row>
    <row r="10">
      <c r="A10" s="20" t="n">
        <v>46274</v>
      </c>
      <c r="B10" s="21">
        <f>SUMIFS(Meals!$D$5:$D$129,Meals!$A$5:$A$129,$A10,Meals!$M$5:$M$129,"logged")</f>
        <v/>
      </c>
      <c r="C10" s="21">
        <f>SUMIFS(Meals!$E$5:$E$129,Meals!$A$5:$A$129,$A10,Meals!$M$5:$M$129,"logged")</f>
        <v/>
      </c>
      <c r="D10" s="21">
        <f>AVERAGE(B10:C10)</f>
        <v/>
      </c>
      <c r="E10" s="22">
        <f>SUMIFS(Meals!$G$5:$G$129,Meals!$A$5:$A$129,$A10,Meals!$M$5:$M$129,"logged")</f>
        <v/>
      </c>
      <c r="F10" s="22">
        <f>SUMIFS(Meals!$H$5:$H$129,Meals!$A$5:$A$129,$A10,Meals!$M$5:$M$129,"logged")</f>
        <v/>
      </c>
      <c r="G10" s="22">
        <f>AVERAGE(E10:F10)</f>
        <v/>
      </c>
      <c r="H10" s="22">
        <f>SUMIFS(Meals!$J$5:$J$129,Meals!$A$5:$A$129,$A10,Meals!$M$5:$M$129,"logged")</f>
        <v/>
      </c>
      <c r="I10" s="22">
        <f>SUMIFS(Meals!$K$5:$K$129,Meals!$A$5:$A$129,$A10,Meals!$M$5:$M$129,"logged")</f>
        <v/>
      </c>
      <c r="J10" s="22">
        <f>AVERAGE(H10:I10)</f>
        <v/>
      </c>
      <c r="K10" s="20">
        <f>COUNTIFS(Meals!$A$5:$A$129,$A10,Meals!$M$5:$M$129,"logged")</f>
        <v/>
      </c>
      <c r="L10" s="20">
        <f>COUNTIFS(Meals!$A$5:$A$129,$A10,Meals!$M$5:$M$129,"pending")</f>
        <v/>
      </c>
      <c r="M10" s="23">
        <f>D10-Targets!$B$16</f>
        <v/>
      </c>
    </row>
    <row r="11">
      <c r="A11" s="18" t="n">
        <v>46275</v>
      </c>
      <c r="B11" s="8">
        <f>SUMIFS(Meals!$D$5:$D$129,Meals!$A$5:$A$129,$A11,Meals!$M$5:$M$129,"logged")</f>
        <v/>
      </c>
      <c r="C11" s="8">
        <f>SUMIFS(Meals!$E$5:$E$129,Meals!$A$5:$A$129,$A11,Meals!$M$5:$M$129,"logged")</f>
        <v/>
      </c>
      <c r="D11" s="8">
        <f>AVERAGE(B11:C11)</f>
        <v/>
      </c>
      <c r="E11" s="10">
        <f>SUMIFS(Meals!$G$5:$G$129,Meals!$A$5:$A$129,$A11,Meals!$M$5:$M$129,"logged")</f>
        <v/>
      </c>
      <c r="F11" s="10">
        <f>SUMIFS(Meals!$H$5:$H$129,Meals!$A$5:$A$129,$A11,Meals!$M$5:$M$129,"logged")</f>
        <v/>
      </c>
      <c r="G11" s="10">
        <f>AVERAGE(E11:F11)</f>
        <v/>
      </c>
      <c r="H11" s="10">
        <f>SUMIFS(Meals!$J$5:$J$129,Meals!$A$5:$A$129,$A11,Meals!$M$5:$M$129,"logged")</f>
        <v/>
      </c>
      <c r="I11" s="10">
        <f>SUMIFS(Meals!$K$5:$K$129,Meals!$A$5:$A$129,$A11,Meals!$M$5:$M$129,"logged")</f>
        <v/>
      </c>
      <c r="J11" s="10">
        <f>AVERAGE(H11:I11)</f>
        <v/>
      </c>
      <c r="K11" s="18">
        <f>COUNTIFS(Meals!$A$5:$A$129,$A11,Meals!$M$5:$M$129,"logged")</f>
        <v/>
      </c>
      <c r="L11" s="18">
        <f>COUNTIFS(Meals!$A$5:$A$129,$A11,Meals!$M$5:$M$129,"pending")</f>
        <v/>
      </c>
      <c r="M11" s="19">
        <f>D11-Targets!$B$16</f>
        <v/>
      </c>
    </row>
    <row r="12">
      <c r="A12" s="20" t="n">
        <v>46276</v>
      </c>
      <c r="B12" s="21">
        <f>SUMIFS(Meals!$D$5:$D$129,Meals!$A$5:$A$129,$A12,Meals!$M$5:$M$129,"logged")</f>
        <v/>
      </c>
      <c r="C12" s="21">
        <f>SUMIFS(Meals!$E$5:$E$129,Meals!$A$5:$A$129,$A12,Meals!$M$5:$M$129,"logged")</f>
        <v/>
      </c>
      <c r="D12" s="21">
        <f>AVERAGE(B12:C12)</f>
        <v/>
      </c>
      <c r="E12" s="22">
        <f>SUMIFS(Meals!$G$5:$G$129,Meals!$A$5:$A$129,$A12,Meals!$M$5:$M$129,"logged")</f>
        <v/>
      </c>
      <c r="F12" s="22">
        <f>SUMIFS(Meals!$H$5:$H$129,Meals!$A$5:$A$129,$A12,Meals!$M$5:$M$129,"logged")</f>
        <v/>
      </c>
      <c r="G12" s="22">
        <f>AVERAGE(E12:F12)</f>
        <v/>
      </c>
      <c r="H12" s="22">
        <f>SUMIFS(Meals!$J$5:$J$129,Meals!$A$5:$A$129,$A12,Meals!$M$5:$M$129,"logged")</f>
        <v/>
      </c>
      <c r="I12" s="22">
        <f>SUMIFS(Meals!$K$5:$K$129,Meals!$A$5:$A$129,$A12,Meals!$M$5:$M$129,"logged")</f>
        <v/>
      </c>
      <c r="J12" s="22">
        <f>AVERAGE(H12:I12)</f>
        <v/>
      </c>
      <c r="K12" s="20">
        <f>COUNTIFS(Meals!$A$5:$A$129,$A12,Meals!$M$5:$M$129,"logged")</f>
        <v/>
      </c>
      <c r="L12" s="20">
        <f>COUNTIFS(Meals!$A$5:$A$129,$A12,Meals!$M$5:$M$129,"pending")</f>
        <v/>
      </c>
      <c r="M12" s="23">
        <f>D12-Targets!$B$16</f>
        <v/>
      </c>
    </row>
    <row r="13">
      <c r="A13" s="18" t="n">
        <v>46277</v>
      </c>
      <c r="B13" s="8">
        <f>SUMIFS(Meals!$D$5:$D$129,Meals!$A$5:$A$129,$A13,Meals!$M$5:$M$129,"logged")</f>
        <v/>
      </c>
      <c r="C13" s="8">
        <f>SUMIFS(Meals!$E$5:$E$129,Meals!$A$5:$A$129,$A13,Meals!$M$5:$M$129,"logged")</f>
        <v/>
      </c>
      <c r="D13" s="8">
        <f>AVERAGE(B13:C13)</f>
        <v/>
      </c>
      <c r="E13" s="10">
        <f>SUMIFS(Meals!$G$5:$G$129,Meals!$A$5:$A$129,$A13,Meals!$M$5:$M$129,"logged")</f>
        <v/>
      </c>
      <c r="F13" s="10">
        <f>SUMIFS(Meals!$H$5:$H$129,Meals!$A$5:$A$129,$A13,Meals!$M$5:$M$129,"logged")</f>
        <v/>
      </c>
      <c r="G13" s="10">
        <f>AVERAGE(E13:F13)</f>
        <v/>
      </c>
      <c r="H13" s="10">
        <f>SUMIFS(Meals!$J$5:$J$129,Meals!$A$5:$A$129,$A13,Meals!$M$5:$M$129,"logged")</f>
        <v/>
      </c>
      <c r="I13" s="10">
        <f>SUMIFS(Meals!$K$5:$K$129,Meals!$A$5:$A$129,$A13,Meals!$M$5:$M$129,"logged")</f>
        <v/>
      </c>
      <c r="J13" s="10">
        <f>AVERAGE(H13:I13)</f>
        <v/>
      </c>
      <c r="K13" s="18">
        <f>COUNTIFS(Meals!$A$5:$A$129,$A13,Meals!$M$5:$M$129,"logged")</f>
        <v/>
      </c>
      <c r="L13" s="18">
        <f>COUNTIFS(Meals!$A$5:$A$129,$A13,Meals!$M$5:$M$129,"pending")</f>
        <v/>
      </c>
      <c r="M13" s="19">
        <f>D13-Targets!$B$16</f>
        <v/>
      </c>
    </row>
    <row r="14">
      <c r="A14" s="20" t="n">
        <v>46278</v>
      </c>
      <c r="B14" s="21">
        <f>SUMIFS(Meals!$D$5:$D$129,Meals!$A$5:$A$129,$A14,Meals!$M$5:$M$129,"logged")</f>
        <v/>
      </c>
      <c r="C14" s="21">
        <f>SUMIFS(Meals!$E$5:$E$129,Meals!$A$5:$A$129,$A14,Meals!$M$5:$M$129,"logged")</f>
        <v/>
      </c>
      <c r="D14" s="21">
        <f>AVERAGE(B14:C14)</f>
        <v/>
      </c>
      <c r="E14" s="22">
        <f>SUMIFS(Meals!$G$5:$G$129,Meals!$A$5:$A$129,$A14,Meals!$M$5:$M$129,"logged")</f>
        <v/>
      </c>
      <c r="F14" s="22">
        <f>SUMIFS(Meals!$H$5:$H$129,Meals!$A$5:$A$129,$A14,Meals!$M$5:$M$129,"logged")</f>
        <v/>
      </c>
      <c r="G14" s="22">
        <f>AVERAGE(E14:F14)</f>
        <v/>
      </c>
      <c r="H14" s="22">
        <f>SUMIFS(Meals!$J$5:$J$129,Meals!$A$5:$A$129,$A14,Meals!$M$5:$M$129,"logged")</f>
        <v/>
      </c>
      <c r="I14" s="22">
        <f>SUMIFS(Meals!$K$5:$K$129,Meals!$A$5:$A$129,$A14,Meals!$M$5:$M$129,"logged")</f>
        <v/>
      </c>
      <c r="J14" s="22">
        <f>AVERAGE(H14:I14)</f>
        <v/>
      </c>
      <c r="K14" s="20">
        <f>COUNTIFS(Meals!$A$5:$A$129,$A14,Meals!$M$5:$M$129,"logged")</f>
        <v/>
      </c>
      <c r="L14" s="20">
        <f>COUNTIFS(Meals!$A$5:$A$129,$A14,Meals!$M$5:$M$129,"pending")</f>
        <v/>
      </c>
      <c r="M14" s="23">
        <f>D14-Targets!$B$16</f>
        <v/>
      </c>
    </row>
    <row r="15">
      <c r="A15" s="18" t="n">
        <v>46279</v>
      </c>
      <c r="B15" s="8">
        <f>SUMIFS(Meals!$D$5:$D$129,Meals!$A$5:$A$129,$A15,Meals!$M$5:$M$129,"logged")</f>
        <v/>
      </c>
      <c r="C15" s="8">
        <f>SUMIFS(Meals!$E$5:$E$129,Meals!$A$5:$A$129,$A15,Meals!$M$5:$M$129,"logged")</f>
        <v/>
      </c>
      <c r="D15" s="8">
        <f>AVERAGE(B15:C15)</f>
        <v/>
      </c>
      <c r="E15" s="10">
        <f>SUMIFS(Meals!$G$5:$G$129,Meals!$A$5:$A$129,$A15,Meals!$M$5:$M$129,"logged")</f>
        <v/>
      </c>
      <c r="F15" s="10">
        <f>SUMIFS(Meals!$H$5:$H$129,Meals!$A$5:$A$129,$A15,Meals!$M$5:$M$129,"logged")</f>
        <v/>
      </c>
      <c r="G15" s="10">
        <f>AVERAGE(E15:F15)</f>
        <v/>
      </c>
      <c r="H15" s="10">
        <f>SUMIFS(Meals!$J$5:$J$129,Meals!$A$5:$A$129,$A15,Meals!$M$5:$M$129,"logged")</f>
        <v/>
      </c>
      <c r="I15" s="10">
        <f>SUMIFS(Meals!$K$5:$K$129,Meals!$A$5:$A$129,$A15,Meals!$M$5:$M$129,"logged")</f>
        <v/>
      </c>
      <c r="J15" s="10">
        <f>AVERAGE(H15:I15)</f>
        <v/>
      </c>
      <c r="K15" s="18">
        <f>COUNTIFS(Meals!$A$5:$A$129,$A15,Meals!$M$5:$M$129,"logged")</f>
        <v/>
      </c>
      <c r="L15" s="18">
        <f>COUNTIFS(Meals!$A$5:$A$129,$A15,Meals!$M$5:$M$129,"pending")</f>
        <v/>
      </c>
      <c r="M15" s="19">
        <f>D15-Targets!$B$16</f>
        <v/>
      </c>
    </row>
    <row r="16">
      <c r="A16" s="20" t="n">
        <v>46280</v>
      </c>
      <c r="B16" s="21">
        <f>SUMIFS(Meals!$D$5:$D$129,Meals!$A$5:$A$129,$A16,Meals!$M$5:$M$129,"logged")</f>
        <v/>
      </c>
      <c r="C16" s="21">
        <f>SUMIFS(Meals!$E$5:$E$129,Meals!$A$5:$A$129,$A16,Meals!$M$5:$M$129,"logged")</f>
        <v/>
      </c>
      <c r="D16" s="21">
        <f>AVERAGE(B16:C16)</f>
        <v/>
      </c>
      <c r="E16" s="22">
        <f>SUMIFS(Meals!$G$5:$G$129,Meals!$A$5:$A$129,$A16,Meals!$M$5:$M$129,"logged")</f>
        <v/>
      </c>
      <c r="F16" s="22">
        <f>SUMIFS(Meals!$H$5:$H$129,Meals!$A$5:$A$129,$A16,Meals!$M$5:$M$129,"logged")</f>
        <v/>
      </c>
      <c r="G16" s="22">
        <f>AVERAGE(E16:F16)</f>
        <v/>
      </c>
      <c r="H16" s="22">
        <f>SUMIFS(Meals!$J$5:$J$129,Meals!$A$5:$A$129,$A16,Meals!$M$5:$M$129,"logged")</f>
        <v/>
      </c>
      <c r="I16" s="22">
        <f>SUMIFS(Meals!$K$5:$K$129,Meals!$A$5:$A$129,$A16,Meals!$M$5:$M$129,"logged")</f>
        <v/>
      </c>
      <c r="J16" s="22">
        <f>AVERAGE(H16:I16)</f>
        <v/>
      </c>
      <c r="K16" s="20">
        <f>COUNTIFS(Meals!$A$5:$A$129,$A16,Meals!$M$5:$M$129,"logged")</f>
        <v/>
      </c>
      <c r="L16" s="20">
        <f>COUNTIFS(Meals!$A$5:$A$129,$A16,Meals!$M$5:$M$129,"pending")</f>
        <v/>
      </c>
      <c r="M16" s="23">
        <f>D16-Targets!$B$16</f>
        <v/>
      </c>
    </row>
    <row r="17">
      <c r="A17" s="18" t="n">
        <v>46281</v>
      </c>
      <c r="B17" s="8">
        <f>SUMIFS(Meals!$D$5:$D$129,Meals!$A$5:$A$129,$A17,Meals!$M$5:$M$129,"logged")</f>
        <v/>
      </c>
      <c r="C17" s="8">
        <f>SUMIFS(Meals!$E$5:$E$129,Meals!$A$5:$A$129,$A17,Meals!$M$5:$M$129,"logged")</f>
        <v/>
      </c>
      <c r="D17" s="8">
        <f>AVERAGE(B17:C17)</f>
        <v/>
      </c>
      <c r="E17" s="10">
        <f>SUMIFS(Meals!$G$5:$G$129,Meals!$A$5:$A$129,$A17,Meals!$M$5:$M$129,"logged")</f>
        <v/>
      </c>
      <c r="F17" s="10">
        <f>SUMIFS(Meals!$H$5:$H$129,Meals!$A$5:$A$129,$A17,Meals!$M$5:$M$129,"logged")</f>
        <v/>
      </c>
      <c r="G17" s="10">
        <f>AVERAGE(E17:F17)</f>
        <v/>
      </c>
      <c r="H17" s="10">
        <f>SUMIFS(Meals!$J$5:$J$129,Meals!$A$5:$A$129,$A17,Meals!$M$5:$M$129,"logged")</f>
        <v/>
      </c>
      <c r="I17" s="10">
        <f>SUMIFS(Meals!$K$5:$K$129,Meals!$A$5:$A$129,$A17,Meals!$M$5:$M$129,"logged")</f>
        <v/>
      </c>
      <c r="J17" s="10">
        <f>AVERAGE(H17:I17)</f>
        <v/>
      </c>
      <c r="K17" s="18">
        <f>COUNTIFS(Meals!$A$5:$A$129,$A17,Meals!$M$5:$M$129,"logged")</f>
        <v/>
      </c>
      <c r="L17" s="18">
        <f>COUNTIFS(Meals!$A$5:$A$129,$A17,Meals!$M$5:$M$129,"pending")</f>
        <v/>
      </c>
      <c r="M17" s="19">
        <f>D17-Targets!$B$16</f>
        <v/>
      </c>
    </row>
    <row r="18">
      <c r="A18" s="20" t="n">
        <v>46282</v>
      </c>
      <c r="B18" s="21">
        <f>SUMIFS(Meals!$D$5:$D$129,Meals!$A$5:$A$129,$A18,Meals!$M$5:$M$129,"logged")</f>
        <v/>
      </c>
      <c r="C18" s="21">
        <f>SUMIFS(Meals!$E$5:$E$129,Meals!$A$5:$A$129,$A18,Meals!$M$5:$M$129,"logged")</f>
        <v/>
      </c>
      <c r="D18" s="21">
        <f>AVERAGE(B18:C18)</f>
        <v/>
      </c>
      <c r="E18" s="22">
        <f>SUMIFS(Meals!$G$5:$G$129,Meals!$A$5:$A$129,$A18,Meals!$M$5:$M$129,"logged")</f>
        <v/>
      </c>
      <c r="F18" s="22">
        <f>SUMIFS(Meals!$H$5:$H$129,Meals!$A$5:$A$129,$A18,Meals!$M$5:$M$129,"logged")</f>
        <v/>
      </c>
      <c r="G18" s="22">
        <f>AVERAGE(E18:F18)</f>
        <v/>
      </c>
      <c r="H18" s="22">
        <f>SUMIFS(Meals!$J$5:$J$129,Meals!$A$5:$A$129,$A18,Meals!$M$5:$M$129,"logged")</f>
        <v/>
      </c>
      <c r="I18" s="22">
        <f>SUMIFS(Meals!$K$5:$K$129,Meals!$A$5:$A$129,$A18,Meals!$M$5:$M$129,"logged")</f>
        <v/>
      </c>
      <c r="J18" s="22">
        <f>AVERAGE(H18:I18)</f>
        <v/>
      </c>
      <c r="K18" s="20">
        <f>COUNTIFS(Meals!$A$5:$A$129,$A18,Meals!$M$5:$M$129,"logged")</f>
        <v/>
      </c>
      <c r="L18" s="20">
        <f>COUNTIFS(Meals!$A$5:$A$129,$A18,Meals!$M$5:$M$129,"pending")</f>
        <v/>
      </c>
      <c r="M18" s="23">
        <f>D18-Targets!$B$16</f>
        <v/>
      </c>
    </row>
    <row r="19">
      <c r="A19" s="18" t="n">
        <v>46283</v>
      </c>
      <c r="B19" s="8">
        <f>SUMIFS(Meals!$D$5:$D$129,Meals!$A$5:$A$129,$A19,Meals!$M$5:$M$129,"logged")</f>
        <v/>
      </c>
      <c r="C19" s="8">
        <f>SUMIFS(Meals!$E$5:$E$129,Meals!$A$5:$A$129,$A19,Meals!$M$5:$M$129,"logged")</f>
        <v/>
      </c>
      <c r="D19" s="8">
        <f>AVERAGE(B19:C19)</f>
        <v/>
      </c>
      <c r="E19" s="10">
        <f>SUMIFS(Meals!$G$5:$G$129,Meals!$A$5:$A$129,$A19,Meals!$M$5:$M$129,"logged")</f>
        <v/>
      </c>
      <c r="F19" s="10">
        <f>SUMIFS(Meals!$H$5:$H$129,Meals!$A$5:$A$129,$A19,Meals!$M$5:$M$129,"logged")</f>
        <v/>
      </c>
      <c r="G19" s="10">
        <f>AVERAGE(E19:F19)</f>
        <v/>
      </c>
      <c r="H19" s="10">
        <f>SUMIFS(Meals!$J$5:$J$129,Meals!$A$5:$A$129,$A19,Meals!$M$5:$M$129,"logged")</f>
        <v/>
      </c>
      <c r="I19" s="10">
        <f>SUMIFS(Meals!$K$5:$K$129,Meals!$A$5:$A$129,$A19,Meals!$M$5:$M$129,"logged")</f>
        <v/>
      </c>
      <c r="J19" s="10">
        <f>AVERAGE(H19:I19)</f>
        <v/>
      </c>
      <c r="K19" s="18">
        <f>COUNTIFS(Meals!$A$5:$A$129,$A19,Meals!$M$5:$M$129,"logged")</f>
        <v/>
      </c>
      <c r="L19" s="18">
        <f>COUNTIFS(Meals!$A$5:$A$129,$A19,Meals!$M$5:$M$129,"pending")</f>
        <v/>
      </c>
      <c r="M19" s="19">
        <f>D19-Targets!$B$16</f>
        <v/>
      </c>
    </row>
    <row r="20">
      <c r="A20" s="20" t="n">
        <v>46284</v>
      </c>
      <c r="B20" s="21">
        <f>SUMIFS(Meals!$D$5:$D$129,Meals!$A$5:$A$129,$A20,Meals!$M$5:$M$129,"logged")</f>
        <v/>
      </c>
      <c r="C20" s="21">
        <f>SUMIFS(Meals!$E$5:$E$129,Meals!$A$5:$A$129,$A20,Meals!$M$5:$M$129,"logged")</f>
        <v/>
      </c>
      <c r="D20" s="21">
        <f>AVERAGE(B20:C20)</f>
        <v/>
      </c>
      <c r="E20" s="22">
        <f>SUMIFS(Meals!$G$5:$G$129,Meals!$A$5:$A$129,$A20,Meals!$M$5:$M$129,"logged")</f>
        <v/>
      </c>
      <c r="F20" s="22">
        <f>SUMIFS(Meals!$H$5:$H$129,Meals!$A$5:$A$129,$A20,Meals!$M$5:$M$129,"logged")</f>
        <v/>
      </c>
      <c r="G20" s="22">
        <f>AVERAGE(E20:F20)</f>
        <v/>
      </c>
      <c r="H20" s="22">
        <f>SUMIFS(Meals!$J$5:$J$129,Meals!$A$5:$A$129,$A20,Meals!$M$5:$M$129,"logged")</f>
        <v/>
      </c>
      <c r="I20" s="22">
        <f>SUMIFS(Meals!$K$5:$K$129,Meals!$A$5:$A$129,$A20,Meals!$M$5:$M$129,"logged")</f>
        <v/>
      </c>
      <c r="J20" s="22">
        <f>AVERAGE(H20:I20)</f>
        <v/>
      </c>
      <c r="K20" s="20">
        <f>COUNTIFS(Meals!$A$5:$A$129,$A20,Meals!$M$5:$M$129,"logged")</f>
        <v/>
      </c>
      <c r="L20" s="20">
        <f>COUNTIFS(Meals!$A$5:$A$129,$A20,Meals!$M$5:$M$129,"pending")</f>
        <v/>
      </c>
      <c r="M20" s="23">
        <f>D20-Targets!$B$16</f>
        <v/>
      </c>
    </row>
    <row r="21">
      <c r="A21" s="18" t="n">
        <v>46285</v>
      </c>
      <c r="B21" s="8">
        <f>SUMIFS(Meals!$D$5:$D$129,Meals!$A$5:$A$129,$A21,Meals!$M$5:$M$129,"logged")</f>
        <v/>
      </c>
      <c r="C21" s="8">
        <f>SUMIFS(Meals!$E$5:$E$129,Meals!$A$5:$A$129,$A21,Meals!$M$5:$M$129,"logged")</f>
        <v/>
      </c>
      <c r="D21" s="8">
        <f>AVERAGE(B21:C21)</f>
        <v/>
      </c>
      <c r="E21" s="10">
        <f>SUMIFS(Meals!$G$5:$G$129,Meals!$A$5:$A$129,$A21,Meals!$M$5:$M$129,"logged")</f>
        <v/>
      </c>
      <c r="F21" s="10">
        <f>SUMIFS(Meals!$H$5:$H$129,Meals!$A$5:$A$129,$A21,Meals!$M$5:$M$129,"logged")</f>
        <v/>
      </c>
      <c r="G21" s="10">
        <f>AVERAGE(E21:F21)</f>
        <v/>
      </c>
      <c r="H21" s="10">
        <f>SUMIFS(Meals!$J$5:$J$129,Meals!$A$5:$A$129,$A21,Meals!$M$5:$M$129,"logged")</f>
        <v/>
      </c>
      <c r="I21" s="10">
        <f>SUMIFS(Meals!$K$5:$K$129,Meals!$A$5:$A$129,$A21,Meals!$M$5:$M$129,"logged")</f>
        <v/>
      </c>
      <c r="J21" s="10">
        <f>AVERAGE(H21:I21)</f>
        <v/>
      </c>
      <c r="K21" s="18">
        <f>COUNTIFS(Meals!$A$5:$A$129,$A21,Meals!$M$5:$M$129,"logged")</f>
        <v/>
      </c>
      <c r="L21" s="18">
        <f>COUNTIFS(Meals!$A$5:$A$129,$A21,Meals!$M$5:$M$129,"pending")</f>
        <v/>
      </c>
      <c r="M21" s="19">
        <f>D21-Targets!$B$16</f>
        <v/>
      </c>
    </row>
    <row r="22">
      <c r="A22" s="20" t="n">
        <v>46286</v>
      </c>
      <c r="B22" s="21">
        <f>SUMIFS(Meals!$D$5:$D$129,Meals!$A$5:$A$129,$A22,Meals!$M$5:$M$129,"logged")</f>
        <v/>
      </c>
      <c r="C22" s="21">
        <f>SUMIFS(Meals!$E$5:$E$129,Meals!$A$5:$A$129,$A22,Meals!$M$5:$M$129,"logged")</f>
        <v/>
      </c>
      <c r="D22" s="21">
        <f>AVERAGE(B22:C22)</f>
        <v/>
      </c>
      <c r="E22" s="22">
        <f>SUMIFS(Meals!$G$5:$G$129,Meals!$A$5:$A$129,$A22,Meals!$M$5:$M$129,"logged")</f>
        <v/>
      </c>
      <c r="F22" s="22">
        <f>SUMIFS(Meals!$H$5:$H$129,Meals!$A$5:$A$129,$A22,Meals!$M$5:$M$129,"logged")</f>
        <v/>
      </c>
      <c r="G22" s="22">
        <f>AVERAGE(E22:F22)</f>
        <v/>
      </c>
      <c r="H22" s="22">
        <f>SUMIFS(Meals!$J$5:$J$129,Meals!$A$5:$A$129,$A22,Meals!$M$5:$M$129,"logged")</f>
        <v/>
      </c>
      <c r="I22" s="22">
        <f>SUMIFS(Meals!$K$5:$K$129,Meals!$A$5:$A$129,$A22,Meals!$M$5:$M$129,"logged")</f>
        <v/>
      </c>
      <c r="J22" s="22">
        <f>AVERAGE(H22:I22)</f>
        <v/>
      </c>
      <c r="K22" s="20">
        <f>COUNTIFS(Meals!$A$5:$A$129,$A22,Meals!$M$5:$M$129,"logged")</f>
        <v/>
      </c>
      <c r="L22" s="20">
        <f>COUNTIFS(Meals!$A$5:$A$129,$A22,Meals!$M$5:$M$129,"pending")</f>
        <v/>
      </c>
      <c r="M22" s="23">
        <f>D22-Targets!$B$16</f>
        <v/>
      </c>
    </row>
    <row r="23">
      <c r="A23" s="18" t="n">
        <v>46287</v>
      </c>
      <c r="B23" s="8">
        <f>SUMIFS(Meals!$D$5:$D$129,Meals!$A$5:$A$129,$A23,Meals!$M$5:$M$129,"logged")</f>
        <v/>
      </c>
      <c r="C23" s="8">
        <f>SUMIFS(Meals!$E$5:$E$129,Meals!$A$5:$A$129,$A23,Meals!$M$5:$M$129,"logged")</f>
        <v/>
      </c>
      <c r="D23" s="8">
        <f>AVERAGE(B23:C23)</f>
        <v/>
      </c>
      <c r="E23" s="10">
        <f>SUMIFS(Meals!$G$5:$G$129,Meals!$A$5:$A$129,$A23,Meals!$M$5:$M$129,"logged")</f>
        <v/>
      </c>
      <c r="F23" s="10">
        <f>SUMIFS(Meals!$H$5:$H$129,Meals!$A$5:$A$129,$A23,Meals!$M$5:$M$129,"logged")</f>
        <v/>
      </c>
      <c r="G23" s="10">
        <f>AVERAGE(E23:F23)</f>
        <v/>
      </c>
      <c r="H23" s="10">
        <f>SUMIFS(Meals!$J$5:$J$129,Meals!$A$5:$A$129,$A23,Meals!$M$5:$M$129,"logged")</f>
        <v/>
      </c>
      <c r="I23" s="10">
        <f>SUMIFS(Meals!$K$5:$K$129,Meals!$A$5:$A$129,$A23,Meals!$M$5:$M$129,"logged")</f>
        <v/>
      </c>
      <c r="J23" s="10">
        <f>AVERAGE(H23:I23)</f>
        <v/>
      </c>
      <c r="K23" s="18">
        <f>COUNTIFS(Meals!$A$5:$A$129,$A23,Meals!$M$5:$M$129,"logged")</f>
        <v/>
      </c>
      <c r="L23" s="18">
        <f>COUNTIFS(Meals!$A$5:$A$129,$A23,Meals!$M$5:$M$129,"pending")</f>
        <v/>
      </c>
      <c r="M23" s="19">
        <f>D23-Targets!$B$16</f>
        <v/>
      </c>
    </row>
    <row r="24">
      <c r="A24" s="20" t="n">
        <v>46288</v>
      </c>
      <c r="B24" s="21">
        <f>SUMIFS(Meals!$D$5:$D$129,Meals!$A$5:$A$129,$A24,Meals!$M$5:$M$129,"logged")</f>
        <v/>
      </c>
      <c r="C24" s="21">
        <f>SUMIFS(Meals!$E$5:$E$129,Meals!$A$5:$A$129,$A24,Meals!$M$5:$M$129,"logged")</f>
        <v/>
      </c>
      <c r="D24" s="21">
        <f>AVERAGE(B24:C24)</f>
        <v/>
      </c>
      <c r="E24" s="22">
        <f>SUMIFS(Meals!$G$5:$G$129,Meals!$A$5:$A$129,$A24,Meals!$M$5:$M$129,"logged")</f>
        <v/>
      </c>
      <c r="F24" s="22">
        <f>SUMIFS(Meals!$H$5:$H$129,Meals!$A$5:$A$129,$A24,Meals!$M$5:$M$129,"logged")</f>
        <v/>
      </c>
      <c r="G24" s="22">
        <f>AVERAGE(E24:F24)</f>
        <v/>
      </c>
      <c r="H24" s="22">
        <f>SUMIFS(Meals!$J$5:$J$129,Meals!$A$5:$A$129,$A24,Meals!$M$5:$M$129,"logged")</f>
        <v/>
      </c>
      <c r="I24" s="22">
        <f>SUMIFS(Meals!$K$5:$K$129,Meals!$A$5:$A$129,$A24,Meals!$M$5:$M$129,"logged")</f>
        <v/>
      </c>
      <c r="J24" s="22">
        <f>AVERAGE(H24:I24)</f>
        <v/>
      </c>
      <c r="K24" s="20">
        <f>COUNTIFS(Meals!$A$5:$A$129,$A24,Meals!$M$5:$M$129,"logged")</f>
        <v/>
      </c>
      <c r="L24" s="20">
        <f>COUNTIFS(Meals!$A$5:$A$129,$A24,Meals!$M$5:$M$129,"pending")</f>
        <v/>
      </c>
      <c r="M24" s="23">
        <f>D24-Targets!$B$16</f>
        <v/>
      </c>
    </row>
    <row r="25">
      <c r="A25" s="18" t="n">
        <v>46289</v>
      </c>
      <c r="B25" s="8">
        <f>SUMIFS(Meals!$D$5:$D$129,Meals!$A$5:$A$129,$A25,Meals!$M$5:$M$129,"logged")</f>
        <v/>
      </c>
      <c r="C25" s="8">
        <f>SUMIFS(Meals!$E$5:$E$129,Meals!$A$5:$A$129,$A25,Meals!$M$5:$M$129,"logged")</f>
        <v/>
      </c>
      <c r="D25" s="8">
        <f>AVERAGE(B25:C25)</f>
        <v/>
      </c>
      <c r="E25" s="10">
        <f>SUMIFS(Meals!$G$5:$G$129,Meals!$A$5:$A$129,$A25,Meals!$M$5:$M$129,"logged")</f>
        <v/>
      </c>
      <c r="F25" s="10">
        <f>SUMIFS(Meals!$H$5:$H$129,Meals!$A$5:$A$129,$A25,Meals!$M$5:$M$129,"logged")</f>
        <v/>
      </c>
      <c r="G25" s="10">
        <f>AVERAGE(E25:F25)</f>
        <v/>
      </c>
      <c r="H25" s="10">
        <f>SUMIFS(Meals!$J$5:$J$129,Meals!$A$5:$A$129,$A25,Meals!$M$5:$M$129,"logged")</f>
        <v/>
      </c>
      <c r="I25" s="10">
        <f>SUMIFS(Meals!$K$5:$K$129,Meals!$A$5:$A$129,$A25,Meals!$M$5:$M$129,"logged")</f>
        <v/>
      </c>
      <c r="J25" s="10">
        <f>AVERAGE(H25:I25)</f>
        <v/>
      </c>
      <c r="K25" s="18">
        <f>COUNTIFS(Meals!$A$5:$A$129,$A25,Meals!$M$5:$M$129,"logged")</f>
        <v/>
      </c>
      <c r="L25" s="18">
        <f>COUNTIFS(Meals!$A$5:$A$129,$A25,Meals!$M$5:$M$129,"pending")</f>
        <v/>
      </c>
      <c r="M25" s="19">
        <f>D25-Targets!$B$16</f>
        <v/>
      </c>
    </row>
    <row r="26">
      <c r="A26" s="20" t="n">
        <v>46290</v>
      </c>
      <c r="B26" s="21">
        <f>SUMIFS(Meals!$D$5:$D$129,Meals!$A$5:$A$129,$A26,Meals!$M$5:$M$129,"logged")</f>
        <v/>
      </c>
      <c r="C26" s="21">
        <f>SUMIFS(Meals!$E$5:$E$129,Meals!$A$5:$A$129,$A26,Meals!$M$5:$M$129,"logged")</f>
        <v/>
      </c>
      <c r="D26" s="21">
        <f>AVERAGE(B26:C26)</f>
        <v/>
      </c>
      <c r="E26" s="22">
        <f>SUMIFS(Meals!$G$5:$G$129,Meals!$A$5:$A$129,$A26,Meals!$M$5:$M$129,"logged")</f>
        <v/>
      </c>
      <c r="F26" s="22">
        <f>SUMIFS(Meals!$H$5:$H$129,Meals!$A$5:$A$129,$A26,Meals!$M$5:$M$129,"logged")</f>
        <v/>
      </c>
      <c r="G26" s="22">
        <f>AVERAGE(E26:F26)</f>
        <v/>
      </c>
      <c r="H26" s="22">
        <f>SUMIFS(Meals!$J$5:$J$129,Meals!$A$5:$A$129,$A26,Meals!$M$5:$M$129,"logged")</f>
        <v/>
      </c>
      <c r="I26" s="22">
        <f>SUMIFS(Meals!$K$5:$K$129,Meals!$A$5:$A$129,$A26,Meals!$M$5:$M$129,"logged")</f>
        <v/>
      </c>
      <c r="J26" s="22">
        <f>AVERAGE(H26:I26)</f>
        <v/>
      </c>
      <c r="K26" s="20">
        <f>COUNTIFS(Meals!$A$5:$A$129,$A26,Meals!$M$5:$M$129,"logged")</f>
        <v/>
      </c>
      <c r="L26" s="20">
        <f>COUNTIFS(Meals!$A$5:$A$129,$A26,Meals!$M$5:$M$129,"pending")</f>
        <v/>
      </c>
      <c r="M26" s="23">
        <f>D26-Targets!$B$16</f>
        <v/>
      </c>
    </row>
    <row r="27">
      <c r="A27" s="18" t="n">
        <v>46291</v>
      </c>
      <c r="B27" s="8">
        <f>SUMIFS(Meals!$D$5:$D$129,Meals!$A$5:$A$129,$A27,Meals!$M$5:$M$129,"logged")</f>
        <v/>
      </c>
      <c r="C27" s="8">
        <f>SUMIFS(Meals!$E$5:$E$129,Meals!$A$5:$A$129,$A27,Meals!$M$5:$M$129,"logged")</f>
        <v/>
      </c>
      <c r="D27" s="8">
        <f>AVERAGE(B27:C27)</f>
        <v/>
      </c>
      <c r="E27" s="10">
        <f>SUMIFS(Meals!$G$5:$G$129,Meals!$A$5:$A$129,$A27,Meals!$M$5:$M$129,"logged")</f>
        <v/>
      </c>
      <c r="F27" s="10">
        <f>SUMIFS(Meals!$H$5:$H$129,Meals!$A$5:$A$129,$A27,Meals!$M$5:$M$129,"logged")</f>
        <v/>
      </c>
      <c r="G27" s="10">
        <f>AVERAGE(E27:F27)</f>
        <v/>
      </c>
      <c r="H27" s="10">
        <f>SUMIFS(Meals!$J$5:$J$129,Meals!$A$5:$A$129,$A27,Meals!$M$5:$M$129,"logged")</f>
        <v/>
      </c>
      <c r="I27" s="10">
        <f>SUMIFS(Meals!$K$5:$K$129,Meals!$A$5:$A$129,$A27,Meals!$M$5:$M$129,"logged")</f>
        <v/>
      </c>
      <c r="J27" s="10">
        <f>AVERAGE(H27:I27)</f>
        <v/>
      </c>
      <c r="K27" s="18">
        <f>COUNTIFS(Meals!$A$5:$A$129,$A27,Meals!$M$5:$M$129,"logged")</f>
        <v/>
      </c>
      <c r="L27" s="18">
        <f>COUNTIFS(Meals!$A$5:$A$129,$A27,Meals!$M$5:$M$129,"pending")</f>
        <v/>
      </c>
      <c r="M27" s="19">
        <f>D27-Targets!$B$16</f>
        <v/>
      </c>
    </row>
    <row r="28">
      <c r="A28" s="20" t="n">
        <v>46292</v>
      </c>
      <c r="B28" s="21">
        <f>SUMIFS(Meals!$D$5:$D$129,Meals!$A$5:$A$129,$A28,Meals!$M$5:$M$129,"logged")</f>
        <v/>
      </c>
      <c r="C28" s="21">
        <f>SUMIFS(Meals!$E$5:$E$129,Meals!$A$5:$A$129,$A28,Meals!$M$5:$M$129,"logged")</f>
        <v/>
      </c>
      <c r="D28" s="21">
        <f>AVERAGE(B28:C28)</f>
        <v/>
      </c>
      <c r="E28" s="22">
        <f>SUMIFS(Meals!$G$5:$G$129,Meals!$A$5:$A$129,$A28,Meals!$M$5:$M$129,"logged")</f>
        <v/>
      </c>
      <c r="F28" s="22">
        <f>SUMIFS(Meals!$H$5:$H$129,Meals!$A$5:$A$129,$A28,Meals!$M$5:$M$129,"logged")</f>
        <v/>
      </c>
      <c r="G28" s="22">
        <f>AVERAGE(E28:F28)</f>
        <v/>
      </c>
      <c r="H28" s="22">
        <f>SUMIFS(Meals!$J$5:$J$129,Meals!$A$5:$A$129,$A28,Meals!$M$5:$M$129,"logged")</f>
        <v/>
      </c>
      <c r="I28" s="22">
        <f>SUMIFS(Meals!$K$5:$K$129,Meals!$A$5:$A$129,$A28,Meals!$M$5:$M$129,"logged")</f>
        <v/>
      </c>
      <c r="J28" s="22">
        <f>AVERAGE(H28:I28)</f>
        <v/>
      </c>
      <c r="K28" s="20">
        <f>COUNTIFS(Meals!$A$5:$A$129,$A28,Meals!$M$5:$M$129,"logged")</f>
        <v/>
      </c>
      <c r="L28" s="20">
        <f>COUNTIFS(Meals!$A$5:$A$129,$A28,Meals!$M$5:$M$129,"pending")</f>
        <v/>
      </c>
      <c r="M28" s="23">
        <f>D28-Targets!$B$16</f>
        <v/>
      </c>
    </row>
    <row r="29">
      <c r="A29" s="18" t="n">
        <v>46293</v>
      </c>
      <c r="B29" s="8">
        <f>SUMIFS(Meals!$D$5:$D$129,Meals!$A$5:$A$129,$A29,Meals!$M$5:$M$129,"logged")</f>
        <v/>
      </c>
      <c r="C29" s="8">
        <f>SUMIFS(Meals!$E$5:$E$129,Meals!$A$5:$A$129,$A29,Meals!$M$5:$M$129,"logged")</f>
        <v/>
      </c>
      <c r="D29" s="8">
        <f>AVERAGE(B29:C29)</f>
        <v/>
      </c>
      <c r="E29" s="10">
        <f>SUMIFS(Meals!$G$5:$G$129,Meals!$A$5:$A$129,$A29,Meals!$M$5:$M$129,"logged")</f>
        <v/>
      </c>
      <c r="F29" s="10">
        <f>SUMIFS(Meals!$H$5:$H$129,Meals!$A$5:$A$129,$A29,Meals!$M$5:$M$129,"logged")</f>
        <v/>
      </c>
      <c r="G29" s="10">
        <f>AVERAGE(E29:F29)</f>
        <v/>
      </c>
      <c r="H29" s="10">
        <f>SUMIFS(Meals!$J$5:$J$129,Meals!$A$5:$A$129,$A29,Meals!$M$5:$M$129,"logged")</f>
        <v/>
      </c>
      <c r="I29" s="10">
        <f>SUMIFS(Meals!$K$5:$K$129,Meals!$A$5:$A$129,$A29,Meals!$M$5:$M$129,"logged")</f>
        <v/>
      </c>
      <c r="J29" s="10">
        <f>AVERAGE(H29:I29)</f>
        <v/>
      </c>
      <c r="K29" s="18">
        <f>COUNTIFS(Meals!$A$5:$A$129,$A29,Meals!$M$5:$M$129,"logged")</f>
        <v/>
      </c>
      <c r="L29" s="18">
        <f>COUNTIFS(Meals!$A$5:$A$129,$A29,Meals!$M$5:$M$129,"pending")</f>
        <v/>
      </c>
      <c r="M29" s="19">
        <f>D29-Targets!$B$16</f>
        <v/>
      </c>
    </row>
    <row r="30">
      <c r="A30" s="20" t="n">
        <v>46294</v>
      </c>
      <c r="B30" s="21">
        <f>SUMIFS(Meals!$D$5:$D$129,Meals!$A$5:$A$129,$A30,Meals!$M$5:$M$129,"logged")</f>
        <v/>
      </c>
      <c r="C30" s="21">
        <f>SUMIFS(Meals!$E$5:$E$129,Meals!$A$5:$A$129,$A30,Meals!$M$5:$M$129,"logged")</f>
        <v/>
      </c>
      <c r="D30" s="21">
        <f>AVERAGE(B30:C30)</f>
        <v/>
      </c>
      <c r="E30" s="22">
        <f>SUMIFS(Meals!$G$5:$G$129,Meals!$A$5:$A$129,$A30,Meals!$M$5:$M$129,"logged")</f>
        <v/>
      </c>
      <c r="F30" s="22">
        <f>SUMIFS(Meals!$H$5:$H$129,Meals!$A$5:$A$129,$A30,Meals!$M$5:$M$129,"logged")</f>
        <v/>
      </c>
      <c r="G30" s="22">
        <f>AVERAGE(E30:F30)</f>
        <v/>
      </c>
      <c r="H30" s="22">
        <f>SUMIFS(Meals!$J$5:$J$129,Meals!$A$5:$A$129,$A30,Meals!$M$5:$M$129,"logged")</f>
        <v/>
      </c>
      <c r="I30" s="22">
        <f>SUMIFS(Meals!$K$5:$K$129,Meals!$A$5:$A$129,$A30,Meals!$M$5:$M$129,"logged")</f>
        <v/>
      </c>
      <c r="J30" s="22">
        <f>AVERAGE(H30:I30)</f>
        <v/>
      </c>
      <c r="K30" s="20">
        <f>COUNTIFS(Meals!$A$5:$A$129,$A30,Meals!$M$5:$M$129,"logged")</f>
        <v/>
      </c>
      <c r="L30" s="20">
        <f>COUNTIFS(Meals!$A$5:$A$129,$A30,Meals!$M$5:$M$129,"pending")</f>
        <v/>
      </c>
      <c r="M30" s="23">
        <f>D30-Targets!$B$16</f>
        <v/>
      </c>
    </row>
    <row r="31">
      <c r="A31" s="18" t="n">
        <v>46295</v>
      </c>
      <c r="B31" s="8">
        <f>SUMIFS(Meals!$D$5:$D$129,Meals!$A$5:$A$129,$A31,Meals!$M$5:$M$129,"logged")</f>
        <v/>
      </c>
      <c r="C31" s="8">
        <f>SUMIFS(Meals!$E$5:$E$129,Meals!$A$5:$A$129,$A31,Meals!$M$5:$M$129,"logged")</f>
        <v/>
      </c>
      <c r="D31" s="8">
        <f>AVERAGE(B31:C31)</f>
        <v/>
      </c>
      <c r="E31" s="10">
        <f>SUMIFS(Meals!$G$5:$G$129,Meals!$A$5:$A$129,$A31,Meals!$M$5:$M$129,"logged")</f>
        <v/>
      </c>
      <c r="F31" s="10">
        <f>SUMIFS(Meals!$H$5:$H$129,Meals!$A$5:$A$129,$A31,Meals!$M$5:$M$129,"logged")</f>
        <v/>
      </c>
      <c r="G31" s="10">
        <f>AVERAGE(E31:F31)</f>
        <v/>
      </c>
      <c r="H31" s="10">
        <f>SUMIFS(Meals!$J$5:$J$129,Meals!$A$5:$A$129,$A31,Meals!$M$5:$M$129,"logged")</f>
        <v/>
      </c>
      <c r="I31" s="10">
        <f>SUMIFS(Meals!$K$5:$K$129,Meals!$A$5:$A$129,$A31,Meals!$M$5:$M$129,"logged")</f>
        <v/>
      </c>
      <c r="J31" s="10">
        <f>AVERAGE(H31:I31)</f>
        <v/>
      </c>
      <c r="K31" s="18">
        <f>COUNTIFS(Meals!$A$5:$A$129,$A31,Meals!$M$5:$M$129,"logged")</f>
        <v/>
      </c>
      <c r="L31" s="18">
        <f>COUNTIFS(Meals!$A$5:$A$129,$A31,Meals!$M$5:$M$129,"pending")</f>
        <v/>
      </c>
      <c r="M31" s="19">
        <f>D31-Targets!$B$16</f>
        <v/>
      </c>
    </row>
  </sheetData>
  <mergeCells count="1">
    <mergeCell ref="A2:M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10" customWidth="1" min="3" max="3"/>
    <col width="12" customWidth="1" min="4" max="4"/>
    <col width="16" customWidth="1" min="5" max="5"/>
    <col width="44" customWidth="1" min="6" max="6"/>
  </cols>
  <sheetData>
    <row r="1">
      <c r="A1" s="1" t="inlineStr">
        <is>
          <t>Weigh-ins</t>
        </is>
      </c>
    </row>
    <row r="2" ht="42" customHeight="1">
      <c r="A2" s="2" t="inlineStr">
        <is>
          <t>Weigh same time, same conditions - first thing, after the toilet, before food or drink. Add a row per weigh-in; the Targets sheet reads the latest entry automatically. Read the trailing average, not the raw number.</t>
        </is>
      </c>
    </row>
    <row r="4">
      <c r="A4" s="3" t="inlineStr">
        <is>
          <t>Date</t>
        </is>
      </c>
      <c r="B4" s="3" t="inlineStr">
        <is>
          <t>Weight (kg)</t>
        </is>
      </c>
      <c r="C4" s="3" t="inlineStr">
        <is>
          <t>Change</t>
        </is>
      </c>
      <c r="D4" s="3" t="inlineStr">
        <is>
          <t>Since start</t>
        </is>
      </c>
      <c r="E4" s="3" t="inlineStr">
        <is>
          <t>Trailing avg (7)</t>
        </is>
      </c>
      <c r="F4" s="3" t="inlineStr">
        <is>
          <t>Note</t>
        </is>
      </c>
    </row>
    <row r="5">
      <c r="A5" s="4" t="n">
        <v>46270</v>
      </c>
      <c r="B5" s="24" t="n">
        <v>91.5</v>
      </c>
      <c r="C5" s="25" t="inlineStr"/>
      <c r="D5" s="25">
        <f>B5-$B$5</f>
        <v/>
      </c>
      <c r="E5" s="26">
        <f>AVERAGE(B5:B5)</f>
        <v/>
      </c>
      <c r="F5" s="6" t="inlineStr">
        <is>
          <t>Starting weight - stated by user</t>
        </is>
      </c>
    </row>
    <row r="6">
      <c r="A6" s="4" t="n">
        <v>46272</v>
      </c>
      <c r="B6" s="24" t="n">
        <v>90.75</v>
      </c>
      <c r="C6" s="25">
        <f>B6-B5</f>
        <v/>
      </c>
      <c r="D6" s="25">
        <f>B6-$B$5</f>
        <v/>
      </c>
      <c r="E6" s="26">
        <f>AVERAGE(B5:B6)</f>
        <v/>
      </c>
      <c r="F6" s="6" t="inlineStr">
        <is>
          <t>Morning weigh-in</t>
        </is>
      </c>
    </row>
    <row r="7">
      <c r="A7" s="4" t="n">
        <v>46274</v>
      </c>
      <c r="B7" s="24" t="n">
        <v>90.3</v>
      </c>
      <c r="C7" s="25">
        <f>B7-B6</f>
        <v/>
      </c>
      <c r="D7" s="25">
        <f>B7-$B$5</f>
        <v/>
      </c>
      <c r="E7" s="26">
        <f>AVERAGE(B5:B7)</f>
        <v/>
      </c>
      <c r="F7" s="6" t="inlineStr">
        <is>
          <t>Morning weigh-in</t>
        </is>
      </c>
    </row>
    <row r="8">
      <c r="A8" s="4" t="n">
        <v>46276</v>
      </c>
      <c r="B8" s="24" t="n">
        <v>90.05</v>
      </c>
      <c r="C8" s="25">
        <f>B8-B7</f>
        <v/>
      </c>
      <c r="D8" s="25">
        <f>B8-$B$5</f>
        <v/>
      </c>
      <c r="E8" s="26">
        <f>AVERAGE(B5:B8)</f>
        <v/>
      </c>
      <c r="F8" s="6" t="inlineStr">
        <is>
          <t>Morning weigh-in</t>
        </is>
      </c>
    </row>
    <row r="9">
      <c r="A9" s="4" t="n">
        <v>46281</v>
      </c>
      <c r="B9" s="24" t="n">
        <v>90.15000000000001</v>
      </c>
      <c r="C9" s="25">
        <f>B9-B8</f>
        <v/>
      </c>
      <c r="D9" s="25">
        <f>B9-$B$5</f>
        <v/>
      </c>
      <c r="E9" s="26">
        <f>AVERAGE(B5:B9)</f>
        <v/>
      </c>
      <c r="F9" s="6" t="inlineStr">
        <is>
          <t>Morning weigh-in - user noted different clothing from previous weigh-ins</t>
        </is>
      </c>
    </row>
    <row r="10">
      <c r="A10" s="4" t="n">
        <v>46282</v>
      </c>
      <c r="B10" s="24" t="n">
        <v>90.05</v>
      </c>
      <c r="C10" s="25">
        <f>B10-B9</f>
        <v/>
      </c>
      <c r="D10" s="25">
        <f>B10-$B$5</f>
        <v/>
      </c>
      <c r="E10" s="26">
        <f>AVERAGE(B5:B10)</f>
        <v/>
      </c>
      <c r="F10" s="6" t="inlineStr">
        <is>
          <t>Morning weigh-in</t>
        </is>
      </c>
    </row>
    <row r="11">
      <c r="A11" s="4" t="n">
        <v>46283</v>
      </c>
      <c r="B11" s="24" t="n">
        <v>89.55</v>
      </c>
      <c r="C11" s="25">
        <f>B11-B10</f>
        <v/>
      </c>
      <c r="D11" s="25">
        <f>B11-$B$5</f>
        <v/>
      </c>
      <c r="E11" s="26">
        <f>AVERAGE(B5:B11)</f>
        <v/>
      </c>
      <c r="F11" s="6" t="inlineStr">
        <is>
          <t>Morning weigh-in - first reading under 90 kg</t>
        </is>
      </c>
    </row>
    <row r="12">
      <c r="A12" s="4" t="n">
        <v>46284</v>
      </c>
      <c r="B12" s="24" t="n">
        <v>89.45</v>
      </c>
      <c r="C12" s="25">
        <f>B12-B11</f>
        <v/>
      </c>
      <c r="D12" s="25">
        <f>B12-$B$5</f>
        <v/>
      </c>
      <c r="E12" s="26">
        <f>AVERAGE(B6:B12)</f>
        <v/>
      </c>
      <c r="F12" s="6" t="inlineStr">
        <is>
          <t>Morning weigh-in</t>
        </is>
      </c>
    </row>
    <row r="13">
      <c r="A13" s="4" t="n">
        <v>46287</v>
      </c>
      <c r="B13" s="24" t="n">
        <v>89.5</v>
      </c>
      <c r="C13" s="25">
        <f>B13-B12</f>
        <v/>
      </c>
      <c r="D13" s="25">
        <f>B13-$B$5</f>
        <v/>
      </c>
      <c r="E13" s="26">
        <f>AVERAGE(B7:B13)</f>
        <v/>
      </c>
      <c r="F13" s="6" t="inlineStr">
        <is>
          <t>Morning weigh-in</t>
        </is>
      </c>
    </row>
    <row r="14">
      <c r="A14" s="4" t="n">
        <v>46288</v>
      </c>
      <c r="B14" s="24" t="n">
        <v>89.59999999999999</v>
      </c>
      <c r="C14" s="25">
        <f>B14-B13</f>
        <v/>
      </c>
      <c r="D14" s="25">
        <f>B14-$B$5</f>
        <v/>
      </c>
      <c r="E14" s="26">
        <f>AVERAGE(B8:B14)</f>
        <v/>
      </c>
      <c r="F14" s="6" t="inlineStr">
        <is>
          <t>Morning weigh-in</t>
        </is>
      </c>
    </row>
    <row r="15">
      <c r="A15" s="4" t="n">
        <v>46289</v>
      </c>
      <c r="B15" s="24" t="n">
        <v>89.15000000000001</v>
      </c>
      <c r="C15" s="25">
        <f>B15-B14</f>
        <v/>
      </c>
      <c r="D15" s="25">
        <f>B15-$B$5</f>
        <v/>
      </c>
      <c r="E15" s="26">
        <f>AVERAGE(B9:B15)</f>
        <v/>
      </c>
      <c r="F15" s="6" t="inlineStr">
        <is>
          <t>Morning weigh-in - largest single-day drop in the log</t>
        </is>
      </c>
    </row>
    <row r="16">
      <c r="A16" s="4" t="n">
        <v>46290</v>
      </c>
      <c r="B16" s="24" t="n">
        <v>88.75</v>
      </c>
      <c r="C16" s="25">
        <f>B16-B15</f>
        <v/>
      </c>
      <c r="D16" s="25">
        <f>B16-$B$5</f>
        <v/>
      </c>
      <c r="E16" s="26">
        <f>AVERAGE(B10:B16)</f>
        <v/>
      </c>
      <c r="F16" s="6" t="inlineStr">
        <is>
          <t>Morning weigh-in - second consecutive drop; second sub-89.3 reading</t>
        </is>
      </c>
    </row>
    <row r="18">
      <c r="A18" s="27" t="inlineStr">
        <is>
          <t>A drop in the first week is mostly water and glycogen, not fat. Judge the trend over 2-3 weeks, and change the activity multiplier on Targets only then.</t>
        </is>
      </c>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
  <sheetViews>
    <sheetView showGridLines="0" workbookViewId="0">
      <pane ySplit="4" topLeftCell="A5" activePane="bottomLeft" state="frozen"/>
      <selection pane="bottomLeft" activeCell="A1" sqref="A1"/>
    </sheetView>
  </sheetViews>
  <sheetFormatPr baseColWidth="8" defaultRowHeight="15"/>
  <cols>
    <col width="12" customWidth="1" min="1" max="1"/>
    <col width="11" customWidth="1" min="2" max="2"/>
    <col width="12" customWidth="1" min="3" max="3"/>
    <col width="11" customWidth="1" min="4" max="4"/>
    <col width="9" customWidth="1" min="5" max="5"/>
    <col width="9" customWidth="1" min="6" max="6"/>
    <col width="9" customWidth="1" min="7" max="7"/>
    <col width="9" customWidth="1" min="8" max="8"/>
    <col width="12" customWidth="1" min="9" max="9"/>
    <col width="11" customWidth="1" min="10" max="10"/>
    <col width="40" customWidth="1" min="11" max="11"/>
  </cols>
  <sheetData>
    <row r="1">
      <c r="A1" s="1" t="inlineStr">
        <is>
          <t>Measurements</t>
        </is>
      </c>
    </row>
    <row r="2" ht="42" customHeight="1">
      <c r="A2" s="2" t="inlineStr">
        <is>
          <t>Measure cold, same time of day, same spot, relaxed - arm at mid-bicep, waist at the navel. Fortnightly is enough. What matters is not any single number but waist falling while arm circumference holds: that is fat leaving and muscle staying, which the scale alone cannot show.</t>
        </is>
      </c>
    </row>
    <row r="4">
      <c r="A4" s="3" t="inlineStr">
        <is>
          <t>Date</t>
        </is>
      </c>
      <c r="B4" s="3" t="inlineStr">
        <is>
          <t>Waist (cm)</t>
        </is>
      </c>
      <c r="C4" s="3" t="inlineStr">
        <is>
          <t>Arm relaxed</t>
        </is>
      </c>
      <c r="D4" s="3" t="inlineStr">
        <is>
          <t>Arm flexed</t>
        </is>
      </c>
      <c r="E4" s="3" t="inlineStr">
        <is>
          <t>Chest</t>
        </is>
      </c>
      <c r="F4" s="3" t="inlineStr">
        <is>
          <t>Hips</t>
        </is>
      </c>
      <c r="G4" s="3" t="inlineStr">
        <is>
          <t>Thigh</t>
        </is>
      </c>
      <c r="H4" s="3" t="inlineStr">
        <is>
          <t>Calf</t>
        </is>
      </c>
      <c r="I4" s="3" t="inlineStr">
        <is>
          <t>Waist change</t>
        </is>
      </c>
      <c r="J4" s="3" t="inlineStr">
        <is>
          <t>Arm change</t>
        </is>
      </c>
      <c r="K4" s="3" t="inlineStr">
        <is>
          <t>Note</t>
        </is>
      </c>
    </row>
    <row r="5">
      <c r="A5" s="27" t="inlineStr">
        <is>
          <t>No measurements yet - add a row to measurements.csv.</t>
        </is>
      </c>
    </row>
  </sheetData>
  <mergeCells count="1">
    <mergeCell ref="A2:K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4"/>
  <sheetViews>
    <sheetView showGridLines="0" workbookViewId="0">
      <pane ySplit="13" topLeftCell="A14" activePane="bottomLeft" state="frozen"/>
      <selection pane="bottomLeft" activeCell="A1" sqref="A1"/>
    </sheetView>
  </sheetViews>
  <sheetFormatPr baseColWidth="8" defaultRowHeight="15"/>
  <cols>
    <col width="11" customWidth="1" min="1" max="1"/>
    <col width="22" customWidth="1" min="2" max="2"/>
    <col width="22" customWidth="1" min="3" max="3"/>
    <col width="26" customWidth="1" min="4" max="4"/>
    <col width="10" customWidth="1" min="5" max="5"/>
    <col width="11" customWidth="1" min="6" max="6"/>
    <col width="11" customWidth="1" min="7" max="7"/>
    <col width="10" customWidth="1" min="8" max="8"/>
    <col width="10" customWidth="1" min="9" max="9"/>
    <col width="11" customWidth="1" min="10" max="10"/>
    <col width="10" customWidth="1" min="11" max="11"/>
    <col width="10" customWidth="1" min="12" max="12"/>
    <col width="12" customWidth="1" min="13" max="13"/>
  </cols>
  <sheetData>
    <row r="1">
      <c r="A1" s="1" t="inlineStr">
        <is>
          <t>Grill Spot mess - weekly plan</t>
        </is>
      </c>
    </row>
    <row r="2" ht="42" customHeight="1">
      <c r="A2" s="2" t="inlineStr">
        <is>
          <t>The menu is fixed, so the levers are portion control and added protein. Set how many bread items to skip and whether to halve the rice, per day, in the yellow columns; the sheet works out the calories that frees and how many whey scoops fit inside the target.</t>
        </is>
      </c>
    </row>
    <row r="4">
      <c r="A4" s="28" t="inlineStr">
        <is>
          <t>Assumptions</t>
        </is>
      </c>
    </row>
    <row r="5">
      <c r="A5" s="29" t="inlineStr">
        <is>
          <t>Bread item - kcal</t>
        </is>
      </c>
      <c r="B5" s="14" t="n">
        <v>115</v>
      </c>
      <c r="C5" s="27" t="inlineStr">
        <is>
          <t>Dinner bread is chapati, not porotta - roughly half the calories and a third of the fat.</t>
        </is>
      </c>
    </row>
    <row r="6">
      <c r="A6" s="29" t="inlineStr">
        <is>
          <t>Bread item - protein (g)</t>
        </is>
      </c>
      <c r="B6" s="16" t="n">
        <v>3.5</v>
      </c>
    </row>
    <row r="7">
      <c r="A7" s="29" t="inlineStr">
        <is>
          <t>Halving rice - kcal saved</t>
        </is>
      </c>
      <c r="B7" s="14" t="n">
        <v>200</v>
      </c>
      <c r="C7" s="27" t="inlineStr">
        <is>
          <t>Applies to a full 'Meals' or ghee-rice plate.</t>
        </is>
      </c>
    </row>
    <row r="8">
      <c r="A8" s="29" t="inlineStr">
        <is>
          <t>Halving rice - protein (g)</t>
        </is>
      </c>
      <c r="B8" s="16" t="n">
        <v>2</v>
      </c>
    </row>
    <row r="9">
      <c r="A9" s="29" t="inlineStr">
        <is>
          <t>Whey scoop - kcal</t>
        </is>
      </c>
      <c r="B9" s="14" t="n">
        <v>115</v>
      </c>
      <c r="C9" s="27" t="inlineStr">
        <is>
          <t>19.6 g protein per 100 kcal, vs 3.1 for the mess.</t>
        </is>
      </c>
    </row>
    <row r="10">
      <c r="A10" s="29" t="inlineStr">
        <is>
          <t>Whey scoop - protein (g)</t>
        </is>
      </c>
      <c r="B10" s="16" t="n">
        <v>22.5</v>
      </c>
    </row>
    <row r="13">
      <c r="A13" s="3" t="inlineStr">
        <is>
          <t>Day</t>
        </is>
      </c>
      <c r="B13" s="3" t="inlineStr">
        <is>
          <t>Morning</t>
        </is>
      </c>
      <c r="C13" s="3" t="inlineStr">
        <is>
          <t>Lunch</t>
        </is>
      </c>
      <c r="D13" s="3" t="inlineStr">
        <is>
          <t>Dinner</t>
        </is>
      </c>
      <c r="E13" s="3" t="inlineStr">
        <is>
          <t>Kcal as served</t>
        </is>
      </c>
      <c r="F13" s="3" t="inlineStr">
        <is>
          <t>Protein as served</t>
        </is>
      </c>
      <c r="G13" s="3" t="inlineStr">
        <is>
          <t>Bread items to skip</t>
        </is>
      </c>
      <c r="H13" s="3" t="inlineStr">
        <is>
          <t>Halve rice? (1/0)</t>
        </is>
      </c>
      <c r="I13" s="3" t="inlineStr">
        <is>
          <t>Kcal after cuts</t>
        </is>
      </c>
      <c r="J13" s="3" t="inlineStr">
        <is>
          <t>Protein after cuts</t>
        </is>
      </c>
      <c r="K13" s="3" t="inlineStr">
        <is>
          <t>Room to target</t>
        </is>
      </c>
      <c r="L13" s="3" t="inlineStr">
        <is>
          <t>Scoops that fit</t>
        </is>
      </c>
      <c r="M13" s="3" t="inlineStr">
        <is>
          <t>Protein with scoops</t>
        </is>
      </c>
    </row>
    <row r="14">
      <c r="A14" s="30" t="inlineStr">
        <is>
          <t>Monday</t>
        </is>
      </c>
      <c r="B14" s="30" t="inlineStr">
        <is>
          <t>Poori, baji</t>
        </is>
      </c>
      <c r="C14" s="30" t="inlineStr">
        <is>
          <t>Meals (barik/mota rice)</t>
        </is>
      </c>
      <c r="D14" s="30" t="inlineStr">
        <is>
          <t>Chicken curry + 2 chapati</t>
        </is>
      </c>
      <c r="E14" s="7" t="n">
        <v>1885</v>
      </c>
      <c r="F14" s="9" t="n">
        <v>72.5</v>
      </c>
      <c r="G14" s="31" t="n">
        <v>0</v>
      </c>
      <c r="H14" s="31" t="n">
        <v>1</v>
      </c>
      <c r="I14" s="8">
        <f>E14-G14*$B$5-H14*$B$7</f>
        <v/>
      </c>
      <c r="J14" s="10">
        <f>F14-G14*$B$6-H14*$B$8</f>
        <v/>
      </c>
      <c r="K14" s="8">
        <f>Targets!$B$16-I14</f>
        <v/>
      </c>
      <c r="L14" s="18">
        <f>MAX(0,ROUNDDOWN(K14/$B$9,0))</f>
        <v/>
      </c>
      <c r="M14" s="10">
        <f>J14+L14*$B$10</f>
        <v/>
      </c>
    </row>
    <row r="15">
      <c r="A15" s="30" t="inlineStr">
        <is>
          <t>Tuesday</t>
        </is>
      </c>
      <c r="B15" s="30" t="inlineStr">
        <is>
          <t>Masala dosa</t>
        </is>
      </c>
      <c r="C15" s="30" t="inlineStr">
        <is>
          <t>Ghee rice + chicken curry</t>
        </is>
      </c>
      <c r="D15" s="30" t="inlineStr">
        <is>
          <t>Green peas + 2 chapati</t>
        </is>
      </c>
      <c r="E15" s="7" t="n">
        <v>1565</v>
      </c>
      <c r="F15" s="9" t="n">
        <v>54.5</v>
      </c>
      <c r="G15" s="31" t="n">
        <v>0</v>
      </c>
      <c r="H15" s="31" t="n">
        <v>1</v>
      </c>
      <c r="I15" s="8">
        <f>E15-G15*$B$5-H15*$B$7</f>
        <v/>
      </c>
      <c r="J15" s="10">
        <f>F15-G15*$B$6-H15*$B$8</f>
        <v/>
      </c>
      <c r="K15" s="8">
        <f>Targets!$B$16-I15</f>
        <v/>
      </c>
      <c r="L15" s="18">
        <f>MAX(0,ROUNDDOWN(K15/$B$9,0))</f>
        <v/>
      </c>
      <c r="M15" s="10">
        <f>J15+L15*$B$10</f>
        <v/>
      </c>
    </row>
    <row r="16">
      <c r="A16" s="30" t="inlineStr">
        <is>
          <t>Wednesday</t>
        </is>
      </c>
      <c r="B16" s="30" t="inlineStr">
        <is>
          <t>Poratta + egg roast</t>
        </is>
      </c>
      <c r="C16" s="30" t="inlineStr">
        <is>
          <t>Meals (barik/mota rice)</t>
        </is>
      </c>
      <c r="D16" s="30" t="inlineStr">
        <is>
          <t>Chicken traditional curry + 2 chapati</t>
        </is>
      </c>
      <c r="E16" s="7" t="n">
        <v>2160</v>
      </c>
      <c r="F16" s="9" t="n">
        <v>88.5</v>
      </c>
      <c r="G16" s="31" t="n">
        <v>0</v>
      </c>
      <c r="H16" s="31" t="n">
        <v>1</v>
      </c>
      <c r="I16" s="8">
        <f>E16-G16*$B$5-H16*$B$7</f>
        <v/>
      </c>
      <c r="J16" s="10">
        <f>F16-G16*$B$6-H16*$B$8</f>
        <v/>
      </c>
      <c r="K16" s="8">
        <f>Targets!$B$16-I16</f>
        <v/>
      </c>
      <c r="L16" s="18">
        <f>MAX(0,ROUNDDOWN(K16/$B$9,0))</f>
        <v/>
      </c>
      <c r="M16" s="10">
        <f>J16+L16*$B$10</f>
        <v/>
      </c>
    </row>
    <row r="17">
      <c r="A17" s="30" t="inlineStr">
        <is>
          <t>Thursday</t>
        </is>
      </c>
      <c r="B17" s="30" t="inlineStr">
        <is>
          <t>Ghee roast</t>
        </is>
      </c>
      <c r="C17" s="30" t="inlineStr">
        <is>
          <t>Meals (barik/mota rice)</t>
        </is>
      </c>
      <c r="D17" s="30" t="inlineStr">
        <is>
          <t>Gobbi chilly + 2 chapati</t>
        </is>
      </c>
      <c r="E17" s="7" t="n">
        <v>1830</v>
      </c>
      <c r="F17" s="9" t="n">
        <v>54</v>
      </c>
      <c r="G17" s="31" t="n">
        <v>0</v>
      </c>
      <c r="H17" s="31" t="n">
        <v>1</v>
      </c>
      <c r="I17" s="8">
        <f>E17-G17*$B$5-H17*$B$7</f>
        <v/>
      </c>
      <c r="J17" s="10">
        <f>F17-G17*$B$6-H17*$B$8</f>
        <v/>
      </c>
      <c r="K17" s="8">
        <f>Targets!$B$16-I17</f>
        <v/>
      </c>
      <c r="L17" s="18">
        <f>MAX(0,ROUNDDOWN(K17/$B$9,0))</f>
        <v/>
      </c>
      <c r="M17" s="10">
        <f>J17+L17*$B$10</f>
        <v/>
      </c>
    </row>
    <row r="18">
      <c r="A18" s="30" t="inlineStr">
        <is>
          <t>Friday</t>
        </is>
      </c>
      <c r="B18" s="30" t="inlineStr">
        <is>
          <t>Idly set</t>
        </is>
      </c>
      <c r="C18" s="30" t="inlineStr">
        <is>
          <t>Chicken biriyani</t>
        </is>
      </c>
      <c r="D18" s="30" t="inlineStr">
        <is>
          <t>Kadala curry + 2 chapati</t>
        </is>
      </c>
      <c r="E18" s="7" t="n">
        <v>1455</v>
      </c>
      <c r="F18" s="9" t="n">
        <v>59</v>
      </c>
      <c r="G18" s="31" t="n">
        <v>0</v>
      </c>
      <c r="H18" s="31" t="n">
        <v>0</v>
      </c>
      <c r="I18" s="8">
        <f>E18-G18*$B$5-H18*$B$7</f>
        <v/>
      </c>
      <c r="J18" s="10">
        <f>F18-G18*$B$6-H18*$B$8</f>
        <v/>
      </c>
      <c r="K18" s="8">
        <f>Targets!$B$16-I18</f>
        <v/>
      </c>
      <c r="L18" s="18">
        <f>MAX(0,ROUNDDOWN(K18/$B$9,0))</f>
        <v/>
      </c>
      <c r="M18" s="10">
        <f>J18+L18*$B$10</f>
        <v/>
      </c>
    </row>
    <row r="19">
      <c r="A19" s="30" t="inlineStr">
        <is>
          <t>Saturday</t>
        </is>
      </c>
      <c r="B19" s="30" t="inlineStr">
        <is>
          <t>Dosa set</t>
        </is>
      </c>
      <c r="C19" s="30" t="inlineStr">
        <is>
          <t>Meals (barik/mota rice)</t>
        </is>
      </c>
      <c r="D19" s="30" t="inlineStr">
        <is>
          <t>Chicken varutharachathu + 2 chapati</t>
        </is>
      </c>
      <c r="E19" s="7" t="n">
        <v>2100</v>
      </c>
      <c r="F19" s="9" t="n">
        <v>77</v>
      </c>
      <c r="G19" s="31" t="n">
        <v>0</v>
      </c>
      <c r="H19" s="31" t="n">
        <v>1</v>
      </c>
      <c r="I19" s="8">
        <f>E19-G19*$B$5-H19*$B$7</f>
        <v/>
      </c>
      <c r="J19" s="10">
        <f>F19-G19*$B$6-H19*$B$8</f>
        <v/>
      </c>
      <c r="K19" s="8">
        <f>Targets!$B$16-I19</f>
        <v/>
      </c>
      <c r="L19" s="18">
        <f>MAX(0,ROUNDDOWN(K19/$B$9,0))</f>
        <v/>
      </c>
      <c r="M19" s="10">
        <f>J19+L19*$B$10</f>
        <v/>
      </c>
    </row>
    <row r="20">
      <c r="A20" s="30" t="inlineStr">
        <is>
          <t>Sunday</t>
        </is>
      </c>
      <c r="B20" s="30" t="inlineStr">
        <is>
          <t>Kadala curry + poratta</t>
        </is>
      </c>
      <c r="C20" s="30" t="inlineStr">
        <is>
          <t>Ghee rice + chicken curry</t>
        </is>
      </c>
      <c r="D20" s="30" t="inlineStr">
        <is>
          <t>Egg roast + 2 chapati</t>
        </is>
      </c>
      <c r="E20" s="7" t="n">
        <v>1875</v>
      </c>
      <c r="F20" s="9" t="n">
        <v>69</v>
      </c>
      <c r="G20" s="31" t="n">
        <v>0</v>
      </c>
      <c r="H20" s="31" t="n">
        <v>1</v>
      </c>
      <c r="I20" s="8">
        <f>E20-G20*$B$5-H20*$B$7</f>
        <v/>
      </c>
      <c r="J20" s="10">
        <f>F20-G20*$B$6-H20*$B$8</f>
        <v/>
      </c>
      <c r="K20" s="8">
        <f>Targets!$B$16-I20</f>
        <v/>
      </c>
      <c r="L20" s="18">
        <f>MAX(0,ROUNDDOWN(K20/$B$9,0))</f>
        <v/>
      </c>
      <c r="M20" s="10">
        <f>J20+L20*$B$10</f>
        <v/>
      </c>
    </row>
    <row r="22">
      <c r="A22" s="27" t="inlineStr">
        <is>
          <t>As served the mess averages ~1,904 kcal and ~60 g of protein - 3.1 g per 100 kcal. It fills 95% of the calorie target while delivering under half the protein floor.</t>
        </is>
      </c>
    </row>
    <row r="23">
      <c r="A23" s="27" t="inlineStr">
        <is>
          <t>That is why portion control is not optional here: without cutting, there is only ~100 kcal of room left for protein, which is less than one scoop.</t>
        </is>
      </c>
    </row>
    <row r="24">
      <c r="A24" s="27" t="inlineStr">
        <is>
          <t>Bread items are the cheapest cut - ~205 kcal for ~5 g of protein each.</t>
        </is>
      </c>
    </row>
  </sheetData>
  <mergeCells count="1">
    <mergeCell ref="A2:M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7"/>
  <sheetViews>
    <sheetView showGridLines="0" workbookViewId="0">
      <selection activeCell="A1" sqref="A1"/>
    </sheetView>
  </sheetViews>
  <sheetFormatPr baseColWidth="8" defaultRowHeight="15"/>
  <cols>
    <col width="13" customWidth="1" min="1" max="1"/>
    <col width="13" customWidth="1" min="2" max="2"/>
    <col width="12" customWidth="1" min="3" max="3"/>
    <col width="16" customWidth="1" min="4" max="4"/>
    <col width="18" customWidth="1" min="5" max="5"/>
    <col width="16" customWidth="1" min="6" max="6"/>
  </cols>
  <sheetData>
    <row r="1">
      <c r="A1" s="1" t="inlineStr">
        <is>
          <t>Trends - averages of the daily midpoints</t>
        </is>
      </c>
    </row>
    <row r="2">
      <c r="A2" s="27" t="inlineStr">
        <is>
          <t>Targets come from the Targets sheet - change them there, not here.</t>
        </is>
      </c>
    </row>
    <row r="4">
      <c r="A4" s="28" t="inlineStr">
        <is>
          <t>Overall</t>
        </is>
      </c>
    </row>
    <row r="5">
      <c r="A5" s="29" t="inlineStr">
        <is>
          <t>Days logged</t>
        </is>
      </c>
      <c r="B5" s="18">
        <f>COUNT(Daily!$A$5:$A$31)</f>
        <v/>
      </c>
    </row>
    <row r="6">
      <c r="A6" s="29" t="inlineStr">
        <is>
          <t>Avg calories/day (mid)</t>
        </is>
      </c>
      <c r="B6" s="8">
        <f>IFERROR(AVERAGE(Daily!$D$5:$D$31),0)</f>
        <v/>
      </c>
    </row>
    <row r="7">
      <c r="A7" s="29" t="inlineStr">
        <is>
          <t>Avg protein/day (mid, g)</t>
        </is>
      </c>
      <c r="B7" s="10">
        <f>IFERROR(AVERAGE(Daily!$G$5:$G$31),0)</f>
        <v/>
      </c>
    </row>
    <row r="8">
      <c r="A8" s="29" t="inlineStr">
        <is>
          <t>Avg fat/day (mid, g)</t>
        </is>
      </c>
      <c r="B8" s="10">
        <f>IFERROR(AVERAGE(Daily!$J$5:$J$31),0)</f>
        <v/>
      </c>
    </row>
    <row r="9">
      <c r="A9" s="29" t="inlineStr">
        <is>
          <t>Avg vs calorie target</t>
        </is>
      </c>
      <c r="B9" s="19">
        <f>IFERROR(B6-Targets!$B$16,0)</f>
        <v/>
      </c>
    </row>
    <row r="10">
      <c r="A10" s="29" t="inlineStr">
        <is>
          <t>Avg deficit vs maintenance</t>
        </is>
      </c>
      <c r="B10" s="19">
        <f>IFERROR(Targets!$B$15-B6,0)</f>
        <v/>
      </c>
    </row>
    <row r="11">
      <c r="A11" s="29" t="inlineStr">
        <is>
          <t>Implied loss (kg/week)</t>
        </is>
      </c>
      <c r="B11" s="26">
        <f>IFERROR((Targets!$B$15-B6)*7/Targets!$B$11,0)</f>
        <v/>
      </c>
    </row>
    <row r="12">
      <c r="A12" s="29" t="inlineStr">
        <is>
          <t>Days hitting protein target</t>
        </is>
      </c>
      <c r="B12" s="18">
        <f>COUNTIFS(Daily!$G$5:$G$31,"&gt;="&amp;Targets!$B$20)</f>
        <v/>
      </c>
    </row>
    <row r="13">
      <c r="A13" s="29" t="inlineStr">
        <is>
          <t>Total pending (unconfirmed) items</t>
        </is>
      </c>
      <c r="B13" s="18">
        <f>SUM(Daily!$L$5:$L$31)</f>
        <v/>
      </c>
    </row>
    <row r="15">
      <c r="A15" s="28" t="inlineStr">
        <is>
          <t>Weekly (week starting Monday)</t>
        </is>
      </c>
    </row>
    <row r="16">
      <c r="A16" s="3" t="inlineStr">
        <is>
          <t>Week start</t>
        </is>
      </c>
      <c r="B16" s="3" t="inlineStr">
        <is>
          <t>Week end</t>
        </is>
      </c>
      <c r="C16" s="3" t="inlineStr">
        <is>
          <t>Days logged</t>
        </is>
      </c>
      <c r="D16" s="3" t="inlineStr">
        <is>
          <t>Avg cal/day (mid)</t>
        </is>
      </c>
      <c r="E16" s="3" t="inlineStr">
        <is>
          <t>Avg protein/day (mid, g)</t>
        </is>
      </c>
      <c r="F16" s="3" t="inlineStr">
        <is>
          <t>Avg fat/day (mid, g)</t>
        </is>
      </c>
    </row>
    <row r="17">
      <c r="A17" s="4" t="n">
        <v>46265</v>
      </c>
      <c r="B17" s="4" t="n">
        <v>46271</v>
      </c>
      <c r="C17" s="18">
        <f>COUNTIFS(Daily!$A$5:$A$31,"&gt;="&amp;$A17,Daily!$A$5:$A$31,"&lt;="&amp;$B17)</f>
        <v/>
      </c>
      <c r="D17" s="8">
        <f>IFERROR(AVERAGEIFS(Daily!$D$5:$D$31,Daily!$A$5:$A$31,"&gt;="&amp;$A17,Daily!$A$5:$A$31,"&lt;="&amp;$B17),0)</f>
        <v/>
      </c>
      <c r="E17" s="10">
        <f>IFERROR(AVERAGEIFS(Daily!$G$5:$G$31,Daily!$A$5:$A$31,"&gt;="&amp;$A17,Daily!$A$5:$A$31,"&lt;="&amp;$B17),0)</f>
        <v/>
      </c>
      <c r="F17" s="10">
        <f>IFERROR(AVERAGEIFS(Daily!$J$5:$J$31,Daily!$A$5:$A$31,"&gt;="&amp;$A17,Daily!$A$5:$A$31,"&lt;="&amp;$B17),0)</f>
        <v/>
      </c>
    </row>
    <row r="18">
      <c r="A18" s="4" t="n">
        <v>46272</v>
      </c>
      <c r="B18" s="4" t="n">
        <v>46278</v>
      </c>
      <c r="C18" s="18">
        <f>COUNTIFS(Daily!$A$5:$A$31,"&gt;="&amp;$A18,Daily!$A$5:$A$31,"&lt;="&amp;$B18)</f>
        <v/>
      </c>
      <c r="D18" s="8">
        <f>IFERROR(AVERAGEIFS(Daily!$D$5:$D$31,Daily!$A$5:$A$31,"&gt;="&amp;$A18,Daily!$A$5:$A$31,"&lt;="&amp;$B18),0)</f>
        <v/>
      </c>
      <c r="E18" s="10">
        <f>IFERROR(AVERAGEIFS(Daily!$G$5:$G$31,Daily!$A$5:$A$31,"&gt;="&amp;$A18,Daily!$A$5:$A$31,"&lt;="&amp;$B18),0)</f>
        <v/>
      </c>
      <c r="F18" s="10">
        <f>IFERROR(AVERAGEIFS(Daily!$J$5:$J$31,Daily!$A$5:$A$31,"&gt;="&amp;$A18,Daily!$A$5:$A$31,"&lt;="&amp;$B18),0)</f>
        <v/>
      </c>
    </row>
    <row r="19">
      <c r="A19" s="4" t="n">
        <v>46279</v>
      </c>
      <c r="B19" s="4" t="n">
        <v>46285</v>
      </c>
      <c r="C19" s="18">
        <f>COUNTIFS(Daily!$A$5:$A$31,"&gt;="&amp;$A19,Daily!$A$5:$A$31,"&lt;="&amp;$B19)</f>
        <v/>
      </c>
      <c r="D19" s="8">
        <f>IFERROR(AVERAGEIFS(Daily!$D$5:$D$31,Daily!$A$5:$A$31,"&gt;="&amp;$A19,Daily!$A$5:$A$31,"&lt;="&amp;$B19),0)</f>
        <v/>
      </c>
      <c r="E19" s="10">
        <f>IFERROR(AVERAGEIFS(Daily!$G$5:$G$31,Daily!$A$5:$A$31,"&gt;="&amp;$A19,Daily!$A$5:$A$31,"&lt;="&amp;$B19),0)</f>
        <v/>
      </c>
      <c r="F19" s="10">
        <f>IFERROR(AVERAGEIFS(Daily!$J$5:$J$31,Daily!$A$5:$A$31,"&gt;="&amp;$A19,Daily!$A$5:$A$31,"&lt;="&amp;$B19),0)</f>
        <v/>
      </c>
    </row>
    <row r="20">
      <c r="A20" s="4" t="n">
        <v>46286</v>
      </c>
      <c r="B20" s="4" t="n">
        <v>46292</v>
      </c>
      <c r="C20" s="18">
        <f>COUNTIFS(Daily!$A$5:$A$31,"&gt;="&amp;$A20,Daily!$A$5:$A$31,"&lt;="&amp;$B20)</f>
        <v/>
      </c>
      <c r="D20" s="8">
        <f>IFERROR(AVERAGEIFS(Daily!$D$5:$D$31,Daily!$A$5:$A$31,"&gt;="&amp;$A20,Daily!$A$5:$A$31,"&lt;="&amp;$B20),0)</f>
        <v/>
      </c>
      <c r="E20" s="10">
        <f>IFERROR(AVERAGEIFS(Daily!$G$5:$G$31,Daily!$A$5:$A$31,"&gt;="&amp;$A20,Daily!$A$5:$A$31,"&lt;="&amp;$B20),0)</f>
        <v/>
      </c>
      <c r="F20" s="10">
        <f>IFERROR(AVERAGEIFS(Daily!$J$5:$J$31,Daily!$A$5:$A$31,"&gt;="&amp;$A20,Daily!$A$5:$A$31,"&lt;="&amp;$B20),0)</f>
        <v/>
      </c>
    </row>
    <row r="21">
      <c r="A21" s="4" t="n">
        <v>46293</v>
      </c>
      <c r="B21" s="4" t="n">
        <v>46299</v>
      </c>
      <c r="C21" s="18">
        <f>COUNTIFS(Daily!$A$5:$A$31,"&gt;="&amp;$A21,Daily!$A$5:$A$31,"&lt;="&amp;$B21)</f>
        <v/>
      </c>
      <c r="D21" s="8">
        <f>IFERROR(AVERAGEIFS(Daily!$D$5:$D$31,Daily!$A$5:$A$31,"&gt;="&amp;$A21,Daily!$A$5:$A$31,"&lt;="&amp;$B21),0)</f>
        <v/>
      </c>
      <c r="E21" s="10">
        <f>IFERROR(AVERAGEIFS(Daily!$G$5:$G$31,Daily!$A$5:$A$31,"&gt;="&amp;$A21,Daily!$A$5:$A$31,"&lt;="&amp;$B21),0)</f>
        <v/>
      </c>
      <c r="F21" s="10">
        <f>IFERROR(AVERAGEIFS(Daily!$J$5:$J$31,Daily!$A$5:$A$31,"&gt;="&amp;$A21,Daily!$A$5:$A$31,"&lt;="&amp;$B21),0)</f>
        <v/>
      </c>
    </row>
    <row r="23">
      <c r="A23" s="28" t="inlineStr">
        <is>
          <t>Monthly</t>
        </is>
      </c>
    </row>
    <row r="24">
      <c r="A24" s="3" t="inlineStr">
        <is>
          <t>Month start</t>
        </is>
      </c>
      <c r="B24" s="3" t="inlineStr">
        <is>
          <t>Month end</t>
        </is>
      </c>
      <c r="C24" s="3" t="inlineStr">
        <is>
          <t>Days logged</t>
        </is>
      </c>
      <c r="D24" s="3" t="inlineStr">
        <is>
          <t>Avg cal/day (mid)</t>
        </is>
      </c>
      <c r="E24" s="3" t="inlineStr">
        <is>
          <t>Avg protein/day (mid, g)</t>
        </is>
      </c>
      <c r="F24" s="3" t="inlineStr">
        <is>
          <t>Avg fat/day (mid, g)</t>
        </is>
      </c>
    </row>
    <row r="25">
      <c r="A25" s="4" t="n">
        <v>46266</v>
      </c>
      <c r="B25" s="4" t="n">
        <v>46295</v>
      </c>
      <c r="C25" s="18">
        <f>COUNTIFS(Daily!$A$5:$A$31,"&gt;="&amp;$A25,Daily!$A$5:$A$31,"&lt;="&amp;$B25)</f>
        <v/>
      </c>
      <c r="D25" s="8">
        <f>IFERROR(AVERAGEIFS(Daily!$D$5:$D$31,Daily!$A$5:$A$31,"&gt;="&amp;$A25,Daily!$A$5:$A$31,"&lt;="&amp;$B25),0)</f>
        <v/>
      </c>
      <c r="E25" s="10">
        <f>IFERROR(AVERAGEIFS(Daily!$G$5:$G$31,Daily!$A$5:$A$31,"&gt;="&amp;$A25,Daily!$A$5:$A$31,"&lt;="&amp;$B25),0)</f>
        <v/>
      </c>
      <c r="F25" s="10">
        <f>IFERROR(AVERAGEIFS(Daily!$J$5:$J$31,Daily!$A$5:$A$31,"&gt;="&amp;$A25,Daily!$A$5:$A$31,"&lt;="&amp;$B25),0)</f>
        <v/>
      </c>
    </row>
    <row r="27">
      <c r="A27" s="27" t="inlineStr">
        <is>
          <t>Averages cover only the days present in the log; a part-logged day (today's dinner still to come) drags its average down.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0"/>
  <sheetViews>
    <sheetView showGridLines="0" workbookViewId="0">
      <selection activeCell="A1" sqref="A1"/>
    </sheetView>
  </sheetViews>
  <sheetFormatPr baseColWidth="8" defaultRowHeight="15"/>
  <cols>
    <col width="34" customWidth="1" min="1" max="1"/>
    <col width="12" customWidth="1" min="2" max="2"/>
    <col width="66" customWidth="1" min="3" max="3"/>
  </cols>
  <sheetData>
    <row r="1">
      <c r="A1" s="1" t="inlineStr">
        <is>
          <t>Targets</t>
        </is>
      </c>
    </row>
    <row r="2" ht="42" customHeight="1">
      <c r="A2" s="2" t="inlineStr">
        <is>
          <t>Edit the yellow input cells only. BMR uses Mifflin-St Jeor, the equation recommended for this purpose. Everything below the inputs is a formula, so dropping the weight here re-derives maintenance, the calorie target and the carb allowance automatically.</t>
        </is>
      </c>
    </row>
    <row r="4">
      <c r="A4" s="28" t="inlineStr">
        <is>
          <t>Inputs</t>
        </is>
      </c>
    </row>
    <row r="5">
      <c r="A5" s="29" t="inlineStr">
        <is>
          <t>Weight (kg)</t>
        </is>
      </c>
      <c r="B5" s="32">
        <f>INDEX(Weights!$B$5:$B$500,COUNT(Weights!$B$5:$B$500))</f>
        <v/>
      </c>
      <c r="C5" s="33" t="inlineStr">
        <is>
          <t>Latest entry on the Weights sheet - add a weigh-in there and everything below re-derives. Do not type over it.</t>
        </is>
      </c>
    </row>
    <row r="6">
      <c r="A6" s="29" t="inlineStr">
        <is>
          <t>Height (cm)</t>
        </is>
      </c>
      <c r="B6" s="16" t="n">
        <v>162.5</v>
      </c>
      <c r="C6" s="33" t="inlineStr">
        <is>
          <t>Source: stated by user.</t>
        </is>
      </c>
    </row>
    <row r="7">
      <c r="A7" s="29" t="inlineStr">
        <is>
          <t>Age (years)</t>
        </is>
      </c>
      <c r="B7" s="31" t="n">
        <v>33</v>
      </c>
      <c r="C7" s="33" t="inlineStr">
        <is>
          <t>Source: stated by user (turns 33 on 2026-09-15).</t>
        </is>
      </c>
    </row>
    <row r="8">
      <c r="A8" s="29" t="inlineStr">
        <is>
          <t>Sex constant</t>
        </is>
      </c>
      <c r="B8" s="31" t="n">
        <v>5</v>
      </c>
      <c r="C8" s="33" t="inlineStr">
        <is>
          <t>Mifflin-St Jeor term: +5 male, -161 female.</t>
        </is>
      </c>
    </row>
    <row r="9">
      <c r="A9" s="29" t="inlineStr">
        <is>
          <t>Activity multiplier</t>
        </is>
      </c>
      <c r="B9" s="34" t="n">
        <v>1.52</v>
      </c>
      <c r="C9" s="33" t="inlineStr">
        <is>
          <t>1.52, revised 2026-09-11 from Apple Watch: 8,237 steps/day averaged over a month is ~5.6 km, well above the sedentary baseline the old 1.45 assumed. Still an estimate - the trailing weight average is the arbiter.</t>
        </is>
      </c>
    </row>
    <row r="10">
      <c r="A10" s="29" t="inlineStr">
        <is>
          <t>Daily deficit (kcal)</t>
        </is>
      </c>
      <c r="B10" s="14" t="n">
        <v>550</v>
      </c>
      <c r="C10" s="33" t="inlineStr">
        <is>
          <t>550/day = 0.5 kg/week. Assumption, not a measurement.</t>
        </is>
      </c>
    </row>
    <row r="11">
      <c r="A11" s="29" t="inlineStr">
        <is>
          <t>kcal per kg of body fat</t>
        </is>
      </c>
      <c r="B11" s="14" t="n">
        <v>7700</v>
      </c>
      <c r="C11" s="33" t="inlineStr">
        <is>
          <t>Standard 7,700 kcal/kg conversion.</t>
        </is>
      </c>
    </row>
    <row r="13">
      <c r="A13" s="28" t="inlineStr">
        <is>
          <t>Derived</t>
        </is>
      </c>
    </row>
    <row r="14">
      <c r="A14" s="29" t="inlineStr">
        <is>
          <t>BMR (Mifflin-St Jeor)</t>
        </is>
      </c>
      <c r="B14" s="8">
        <f>10*B5+6.25*B6-5*B7+B8</f>
        <v/>
      </c>
      <c r="C14" s="33" t="inlineStr">
        <is>
          <t>Resting burn: what the body uses doing nothing.</t>
        </is>
      </c>
    </row>
    <row r="15">
      <c r="A15" s="29" t="inlineStr">
        <is>
          <t>Maintenance (TDEE)</t>
        </is>
      </c>
      <c r="B15" s="8">
        <f>B14*B9</f>
        <v/>
      </c>
      <c r="C15" s="33" t="inlineStr">
        <is>
          <t>Estimate. The scale over 2-3 weeks is the real measurement.</t>
        </is>
      </c>
    </row>
    <row r="16">
      <c r="A16" s="28" t="inlineStr">
        <is>
          <t>CALORIE TARGET</t>
        </is>
      </c>
      <c r="B16" s="35">
        <f>B15-B10</f>
        <v/>
      </c>
      <c r="C16" s="33" t="inlineStr">
        <is>
          <t>The number to eat.</t>
        </is>
      </c>
    </row>
    <row r="17">
      <c r="A17" s="29" t="inlineStr">
        <is>
          <t>Projected loss (kg/week)</t>
        </is>
      </c>
      <c r="B17" s="26">
        <f>B10*7/B11</f>
        <v/>
      </c>
    </row>
    <row r="18">
      <c r="A18" s="29" t="inlineStr">
        <is>
          <t>BMI</t>
        </is>
      </c>
      <c r="B18" s="10">
        <f>B5/(B6/100)^2</f>
        <v/>
      </c>
      <c r="C18" s="33" t="inlineStr">
        <is>
          <t>Worth a GP or dietitian check alongside this plan.</t>
        </is>
      </c>
    </row>
    <row r="20">
      <c r="A20" s="28" t="inlineStr">
        <is>
          <t>Macros at the calorie target</t>
        </is>
      </c>
    </row>
    <row r="21">
      <c r="A21" s="29" t="inlineStr">
        <is>
          <t>Protein target low (g)</t>
        </is>
      </c>
      <c r="B21" s="31" t="n">
        <v>130</v>
      </c>
      <c r="C21" s="33" t="inlineStr">
        <is>
          <t>~2.1 g/kg of estimated lean mass - the level that protects muscle in a deficit while training 6 days.</t>
        </is>
      </c>
    </row>
    <row r="22">
      <c r="A22" s="29" t="inlineStr">
        <is>
          <t>Protein target high (g)</t>
        </is>
      </c>
      <c r="B22" s="31" t="n">
        <v>145</v>
      </c>
    </row>
    <row r="23">
      <c r="A23" s="29" t="inlineStr">
        <is>
          <t>Fat floor (g)</t>
        </is>
      </c>
      <c r="B23" s="31" t="n">
        <v>55</v>
      </c>
      <c r="C23" s="33" t="inlineStr">
        <is>
          <t>~0.6 g/kg. A floor for hormone health, not a goal to hit.</t>
        </is>
      </c>
    </row>
    <row r="24">
      <c r="A24" s="29" t="inlineStr">
        <is>
          <t>Carb allowance (g)</t>
        </is>
      </c>
      <c r="B24" s="18">
        <f>(B16-B21*4-B23*9)/4</f>
        <v/>
      </c>
      <c r="C24" s="33" t="inlineStr">
        <is>
          <t>Whatever is left once protein and the fat floor are paid for. Fuels the PPL work.</t>
        </is>
      </c>
    </row>
    <row r="26">
      <c r="A26" s="28" t="inlineStr">
        <is>
          <t>Where maintenance comes from</t>
        </is>
      </c>
    </row>
    <row r="27">
      <c r="A27" s="29" t="inlineStr">
        <is>
          <t>Sedentary baseline (BMR x 1.2)</t>
        </is>
      </c>
      <c r="B27" s="8">
        <f>B14*1.2</f>
        <v/>
      </c>
      <c r="C27" s="33" t="inlineStr">
        <is>
          <t>Living, digestion, and the ~3,500-5,000 steps a desk-bound day produces.</t>
        </is>
      </c>
    </row>
    <row r="28">
      <c r="A28" s="29" t="inlineStr">
        <is>
          <t>Walking NEAT above sedentary</t>
        </is>
      </c>
      <c r="B28" s="14" t="n">
        <v>150</v>
      </c>
      <c r="C28" s="33" t="inlineStr">
        <is>
          <t>Apple Watch: 8,237 steps/day averaged over a month, ~5.6 km. The part above a sedentary baseline, at 0.5 kcal per kg per km.</t>
        </is>
      </c>
    </row>
    <row r="29">
      <c r="A29" s="29" t="inlineStr">
        <is>
          <t>Training allowance</t>
        </is>
      </c>
      <c r="B29" s="8">
        <f>B15-B27-B28</f>
        <v/>
      </c>
      <c r="C29" s="33" t="inlineStr">
        <is>
          <t>What is left for the gym once living and walking are paid for.</t>
        </is>
      </c>
    </row>
    <row r="30">
      <c r="A30" s="29" t="inlineStr">
        <is>
          <t>Sessions per week</t>
        </is>
      </c>
      <c r="B30" s="31" t="n">
        <v>6</v>
      </c>
      <c r="C30" s="33" t="inlineStr">
        <is>
          <t>6-day PPL split.</t>
        </is>
      </c>
    </row>
    <row r="31">
      <c r="A31" s="29" t="inlineStr">
        <is>
          <t>Implied kcal per session</t>
        </is>
      </c>
      <c r="B31" s="8">
        <f>B29*7/B30</f>
        <v/>
      </c>
      <c r="C31" s="33" t="inlineStr">
        <is>
          <t>Sanity check: resistance training runs ~5-7 kcal/min, so 45-90 min at this bodyweight is ~225-630 kcal. If sessions are short, this allowance is generous and the multiplier should come down - but let the scale decide, not this cell.</t>
        </is>
      </c>
    </row>
    <row r="32">
      <c r="A32" s="28" t="inlineStr">
        <is>
          <t>Optional extra activity - modelled but NOT in the target above</t>
        </is>
      </c>
      <c r="C32" s="27" t="inlineStr">
        <is>
          <t>Deliberately excluded from the calorie target. Activity credited in advance is the commonest way a deficit quietly disappears; let the scale confirm it first, then decide whether to eat it back.</t>
        </is>
      </c>
    </row>
    <row r="33">
      <c r="A33" s="29" t="inlineStr">
        <is>
          <t>Daily walk (km)</t>
        </is>
      </c>
      <c r="B33" s="16" t="n">
        <v>0</v>
      </c>
      <c r="C33" s="33" t="inlineStr">
        <is>
          <t>Now zero: the daily walk is inside the 1.52 multiplier, set from measured step count. Use this block only for walking ON TOP of the usual 8,200 steps.</t>
        </is>
      </c>
    </row>
    <row r="34">
      <c r="A34" s="29" t="inlineStr">
        <is>
          <t>Net kcal per kg per km</t>
        </is>
      </c>
      <c r="B34" s="34" t="n">
        <v>0.5</v>
      </c>
      <c r="C34" s="33" t="inlineStr">
        <is>
          <t>Net of what would have been burned sitting. Gross is ~0.65.</t>
        </is>
      </c>
    </row>
    <row r="35">
      <c r="A35" s="29" t="inlineStr">
        <is>
          <t>Calisthenics (kcal/day)</t>
        </is>
      </c>
      <c r="B35" s="14" t="n">
        <v>67</v>
      </c>
      <c r="C35" s="33" t="inlineStr">
        <is>
          <t>60 push-ups ~24 kcal, 36 pull-ups ~43. Real training stimulus, small calorie cost.</t>
        </is>
      </c>
    </row>
    <row r="36">
      <c r="A36" s="29" t="inlineStr">
        <is>
          <t>Extra burn</t>
        </is>
      </c>
      <c r="B36" s="8">
        <f>B33*B34*B5+B35</f>
        <v/>
      </c>
    </row>
    <row r="37">
      <c r="A37" s="29" t="inlineStr">
        <is>
          <t>Adjusted maintenance</t>
        </is>
      </c>
      <c r="B37" s="8">
        <f>B15+B36</f>
        <v/>
      </c>
    </row>
    <row r="38">
      <c r="A38" s="29" t="inlineStr">
        <is>
          <t>Implied multiplier</t>
        </is>
      </c>
      <c r="B38" s="26">
        <f>B37/B14</f>
        <v/>
      </c>
      <c r="C38" s="33" t="inlineStr">
        <is>
          <t>Against the 1.45 used above.</t>
        </is>
      </c>
    </row>
    <row r="39">
      <c r="A39" s="29" t="inlineStr">
        <is>
          <t>Deficit at the current target</t>
        </is>
      </c>
      <c r="B39" s="8">
        <f>B37-B16</f>
        <v/>
      </c>
    </row>
    <row r="40">
      <c r="A40" s="29" t="inlineStr">
        <is>
          <t>Implied loss (kg/week)</t>
        </is>
      </c>
      <c r="B40" s="26">
        <f>B39*7/B11</f>
        <v/>
      </c>
    </row>
  </sheetData>
  <mergeCells count="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4"/>
  <sheetViews>
    <sheetView showGridLines="0" workbookViewId="0">
      <pane ySplit="4" topLeftCell="A5" activePane="bottomLeft" state="frozen"/>
      <selection pane="bottomLeft" activeCell="A1" sqref="A1"/>
    </sheetView>
  </sheetViews>
  <sheetFormatPr baseColWidth="8" defaultRowHeight="15"/>
  <cols>
    <col width="42" customWidth="1" min="1" max="1"/>
    <col width="9" customWidth="1" min="2" max="2"/>
    <col width="9" customWidth="1" min="3" max="3"/>
    <col width="9" customWidth="1" min="4" max="4"/>
    <col width="14" customWidth="1" min="5" max="5"/>
    <col width="42" customWidth="1" min="6" max="6"/>
  </cols>
  <sheetData>
    <row r="1">
      <c r="A1" s="1" t="inlineStr">
        <is>
          <t>Per-item working estimates</t>
        </is>
      </c>
    </row>
    <row r="2" ht="28" customHeight="1">
      <c r="A2" s="2" t="inlineStr">
        <is>
          <t>Photo-based estimates, kept here so the same item is costed the same way every time. These are assumptions, not measured values - update one and re-cost the meals that use it.</t>
        </is>
      </c>
    </row>
    <row r="4">
      <c r="A4" s="3" t="inlineStr">
        <is>
          <t>Item</t>
        </is>
      </c>
      <c r="B4" s="3" t="inlineStr">
        <is>
          <t>Cal low</t>
        </is>
      </c>
      <c r="C4" s="3" t="inlineStr">
        <is>
          <t>Cal high</t>
        </is>
      </c>
      <c r="D4" s="3" t="inlineStr">
        <is>
          <t>Cal mid</t>
        </is>
      </c>
      <c r="E4" s="3" t="inlineStr">
        <is>
          <t>Protein</t>
        </is>
      </c>
      <c r="F4" s="3" t="inlineStr">
        <is>
          <t>Notes</t>
        </is>
      </c>
    </row>
    <row r="5">
      <c r="A5" s="6" t="inlineStr">
        <is>
          <t>Dosa (plain/crisp)</t>
        </is>
      </c>
      <c r="B5" s="7" t="n">
        <v>180</v>
      </c>
      <c r="C5" s="7" t="n">
        <v>220</v>
      </c>
      <c r="D5" s="8">
        <f>AVERAGE(B5:C5)</f>
        <v/>
      </c>
      <c r="E5" s="5" t="inlineStr">
        <is>
          <t>~3 g each</t>
        </is>
      </c>
      <c r="F5" s="6" t="inlineStr">
        <is>
          <t>Per dosa</t>
        </is>
      </c>
    </row>
    <row r="6">
      <c r="A6" s="6" t="inlineStr">
        <is>
          <t>Dosa (set dosa / appam style)</t>
        </is>
      </c>
      <c r="B6" s="7" t="n">
        <v>120</v>
      </c>
      <c r="C6" s="7" t="n">
        <v>150</v>
      </c>
      <c r="D6" s="8">
        <f>AVERAGE(B6:C6)</f>
        <v/>
      </c>
      <c r="E6" s="5" t="inlineStr">
        <is>
          <t>~3 g each</t>
        </is>
      </c>
      <c r="F6" s="6" t="inlineStr">
        <is>
          <t>Softer/thicker style</t>
        </is>
      </c>
    </row>
    <row r="7">
      <c r="A7" s="6" t="inlineStr">
        <is>
          <t>Appam / palappam (1)</t>
        </is>
      </c>
      <c r="B7" s="7" t="n">
        <v>120</v>
      </c>
      <c r="C7" s="7" t="n">
        <v>150</v>
      </c>
      <c r="D7" s="8">
        <f>AVERAGE(B7:C7)</f>
        <v/>
      </c>
      <c r="E7" s="5" t="inlineStr">
        <is>
          <t>~2.5-3.5 g each</t>
        </is>
      </c>
      <c r="F7" s="6" t="inlineStr">
        <is>
          <t>Fermented rice batter with coconut milk</t>
        </is>
      </c>
    </row>
    <row r="8">
      <c r="A8" s="6" t="inlineStr">
        <is>
          <t>Puttu (1 cylinder ~180-220 g)</t>
        </is>
      </c>
      <c r="B8" s="7" t="n">
        <v>220</v>
      </c>
      <c r="C8" s="7" t="n">
        <v>300</v>
      </c>
      <c r="D8" s="8">
        <f>AVERAGE(B8:C8)</f>
        <v/>
      </c>
      <c r="E8" s="5" t="inlineStr">
        <is>
          <t>~4-6 g</t>
        </is>
      </c>
      <c r="F8" s="6" t="inlineStr">
        <is>
          <t>Steamed rice flour and coconut - no frying oil at all</t>
        </is>
      </c>
    </row>
    <row r="9">
      <c r="A9" s="6" t="inlineStr">
        <is>
          <t>Potato bhaji / curry (small bowl)</t>
        </is>
      </c>
      <c r="B9" s="7" t="n">
        <v>150</v>
      </c>
      <c r="C9" s="7" t="n">
        <v>220</v>
      </c>
      <c r="D9" s="8">
        <f>AVERAGE(B9:C9)</f>
        <v/>
      </c>
      <c r="E9" s="5" t="inlineStr">
        <is>
          <t>~3-4 g</t>
        </is>
      </c>
      <c r="F9" s="6" t="inlineStr">
        <is>
          <t>Kerala style; oil and coconut milk carry the calories</t>
        </is>
      </c>
    </row>
    <row r="10">
      <c r="A10" s="6" t="inlineStr">
        <is>
          <t>Sambar (with veg)</t>
        </is>
      </c>
      <c r="B10" s="7" t="n">
        <v>130</v>
      </c>
      <c r="C10" s="7" t="n">
        <v>160</v>
      </c>
      <c r="D10" s="8">
        <f>AVERAGE(B10:C10)</f>
        <v/>
      </c>
      <c r="E10" s="5" t="inlineStr">
        <is>
          <t>~4-6 g</t>
        </is>
      </c>
      <c r="F10" s="6" t="inlineStr">
        <is>
          <t>Per serving</t>
        </is>
      </c>
    </row>
    <row r="11">
      <c r="A11" s="6" t="inlineStr">
        <is>
          <t>Coconut chutney (~2 tbsp)</t>
        </is>
      </c>
      <c r="B11" s="7" t="n">
        <v>90</v>
      </c>
      <c r="C11" s="7" t="n">
        <v>110</v>
      </c>
      <c r="D11" s="8">
        <f>AVERAGE(B11:C11)</f>
        <v/>
      </c>
      <c r="E11" s="5" t="inlineStr">
        <is>
          <t>~1-2 g</t>
        </is>
      </c>
      <c r="F11" s="6" t="inlineStr">
        <is>
          <t>Fat-dense - the usual thing to cut</t>
        </is>
      </c>
    </row>
    <row r="12">
      <c r="A12" s="6" t="inlineStr">
        <is>
          <t>Red/tomato chutney (~2 tbsp)</t>
        </is>
      </c>
      <c r="B12" s="7" t="n">
        <v>40</v>
      </c>
      <c r="C12" s="7" t="n">
        <v>70</v>
      </c>
      <c r="D12" s="8">
        <f>AVERAGE(B12:C12)</f>
        <v/>
      </c>
      <c r="E12" s="5" t="inlineStr">
        <is>
          <t>~1 g</t>
        </is>
      </c>
      <c r="F12" s="6" t="inlineStr"/>
    </row>
    <row r="13">
      <c r="A13" s="6" t="inlineStr">
        <is>
          <t>Chicken biryani (half plate)</t>
        </is>
      </c>
      <c r="B13" s="7" t="n">
        <v>450</v>
      </c>
      <c r="C13" s="7" t="n">
        <v>600</v>
      </c>
      <c r="D13" s="8">
        <f>AVERAGE(B13:C13)</f>
        <v/>
      </c>
      <c r="E13" s="5" t="inlineStr">
        <is>
          <t>~22-30 g</t>
        </is>
      </c>
      <c r="F13" s="6" t="inlineStr">
        <is>
          <t>Rice + 2 pieces</t>
        </is>
      </c>
    </row>
    <row r="14">
      <c r="A14" s="6" t="inlineStr">
        <is>
          <t>Raita (small)</t>
        </is>
      </c>
      <c r="B14" s="7" t="n">
        <v>50</v>
      </c>
      <c r="C14" s="7" t="n">
        <v>80</v>
      </c>
      <c r="D14" s="8">
        <f>AVERAGE(B14:C14)</f>
        <v/>
      </c>
      <c r="E14" s="5" t="inlineStr">
        <is>
          <t>~2-4 g</t>
        </is>
      </c>
      <c r="F14" s="6" t="inlineStr"/>
    </row>
    <row r="15">
      <c r="A15" s="6" t="inlineStr">
        <is>
          <t>Maida porotta</t>
        </is>
      </c>
      <c r="B15" s="7" t="n">
        <v>160</v>
      </c>
      <c r="C15" s="7" t="n">
        <v>250</v>
      </c>
      <c r="D15" s="8">
        <f>AVERAGE(B15:C15)</f>
        <v/>
      </c>
      <c r="E15" s="5" t="inlineStr">
        <is>
          <t>~4-6 g each</t>
        </is>
      </c>
      <c r="F15" s="6" t="inlineStr">
        <is>
          <t>Refined flour + layered oil/ghee</t>
        </is>
      </c>
    </row>
    <row r="16">
      <c r="A16" s="6" t="inlineStr">
        <is>
          <t>Chapati (1)</t>
        </is>
      </c>
      <c r="B16" s="7" t="n">
        <v>100</v>
      </c>
      <c r="C16" s="7" t="n">
        <v>130</v>
      </c>
      <c r="D16" s="8">
        <f>AVERAGE(B16:C16)</f>
        <v/>
      </c>
      <c r="E16" s="5" t="inlineStr">
        <is>
          <t>~3-4 g each</t>
        </is>
      </c>
      <c r="F16" s="6" t="inlineStr">
        <is>
          <t>Whole wheat with little or no oil - about half a porotta's calories and a third of its fat</t>
        </is>
      </c>
    </row>
    <row r="17">
      <c r="A17" s="6" t="inlineStr">
        <is>
          <t>Chicken roll - breadcrumbed and deep-fried (1)</t>
        </is>
      </c>
      <c r="B17" s="7" t="n">
        <v>290</v>
      </c>
      <c r="C17" s="7" t="n">
        <v>400</v>
      </c>
      <c r="D17" s="8">
        <f>AVERAGE(B17:C17)</f>
        <v/>
      </c>
      <c r="E17" s="5" t="inlineStr">
        <is>
          <t>~10-15 g</t>
        </is>
      </c>
      <c r="F17" s="6" t="inlineStr">
        <is>
          <t>Mostly bread and absorbed frying oil; the chicken filling is a thin layer. 3.6 g protein per 100 kcal</t>
        </is>
      </c>
    </row>
    <row r="18">
      <c r="A18" s="6" t="inlineStr">
        <is>
          <t>Chatti pathiri chicken (1 slice ~100-120 g)</t>
        </is>
      </c>
      <c r="B18" s="7" t="n">
        <v>230</v>
      </c>
      <c r="C18" s="7" t="n">
        <v>320</v>
      </c>
      <c r="D18" s="8">
        <f>AVERAGE(B18:C18)</f>
        <v/>
      </c>
      <c r="E18" s="5" t="inlineStr">
        <is>
          <t>~10-14 g</t>
        </is>
      </c>
      <c r="F18" s="6" t="inlineStr">
        <is>
          <t>Layered maida pathiri with chicken masala and an egg-milk binder; ghee-rich</t>
        </is>
      </c>
    </row>
    <row r="19">
      <c r="A19" s="6" t="inlineStr">
        <is>
          <t>Uzhunnu vada / medu vada (1)</t>
        </is>
      </c>
      <c r="B19" s="7" t="n">
        <v>130</v>
      </c>
      <c r="C19" s="7" t="n">
        <v>180</v>
      </c>
      <c r="D19" s="8">
        <f>AVERAGE(B19:C19)</f>
        <v/>
      </c>
      <c r="E19" s="5" t="inlineStr">
        <is>
          <t>~3.5-5 g each</t>
        </is>
      </c>
      <c r="F19" s="6" t="inlineStr">
        <is>
          <t>Deep-fried urad dal - protein-bearing but fat-dense</t>
        </is>
      </c>
    </row>
    <row r="20">
      <c r="A20" s="6" t="inlineStr">
        <is>
          <t>Kadala curry (1 container)</t>
        </is>
      </c>
      <c r="B20" s="7" t="n">
        <v>200</v>
      </c>
      <c r="C20" s="7" t="n">
        <v>300</v>
      </c>
      <c r="D20" s="8">
        <f>AVERAGE(B20:C20)</f>
        <v/>
      </c>
      <c r="E20" s="5" t="inlineStr">
        <is>
          <t>~8-10 g</t>
        </is>
      </c>
      <c r="F20" s="6" t="inlineStr"/>
    </row>
    <row r="21">
      <c r="A21" s="6" t="inlineStr">
        <is>
          <t>Fish fry (1 piece pan-fried)</t>
        </is>
      </c>
      <c r="B21" s="7" t="n">
        <v>150</v>
      </c>
      <c r="C21" s="7" t="n">
        <v>220</v>
      </c>
      <c r="D21" s="8">
        <f>AVERAGE(B21:C21)</f>
        <v/>
      </c>
      <c r="E21" s="5" t="inlineStr">
        <is>
          <t>~15-20 g</t>
        </is>
      </c>
      <c r="F21" s="6" t="inlineStr"/>
    </row>
    <row r="22">
      <c r="A22" s="6" t="inlineStr">
        <is>
          <t>Grilled sea bream (1 whole ~300-400 g)</t>
        </is>
      </c>
      <c r="B22" s="7" t="n">
        <v>250</v>
      </c>
      <c r="C22" s="7" t="n">
        <v>400</v>
      </c>
      <c r="D22" s="8">
        <f>AVERAGE(B22:C22)</f>
        <v/>
      </c>
      <c r="E22" s="5" t="inlineStr">
        <is>
          <t>~35-50 g</t>
        </is>
      </c>
      <c r="F22" s="6" t="inlineStr">
        <is>
          <t>Lean white fish; best protein-per-calorie item available. Most fat is the grill oil</t>
        </is>
      </c>
    </row>
    <row r="23">
      <c r="A23" s="6" t="inlineStr">
        <is>
          <t>Matthi / sardine (2-3 fish taken without gravy)</t>
        </is>
      </c>
      <c r="B23" s="7" t="n">
        <v>150</v>
      </c>
      <c r="C23" s="7" t="n">
        <v>230</v>
      </c>
      <c r="D23" s="8">
        <f>AVERAGE(B23:C23)</f>
        <v/>
      </c>
      <c r="E23" s="5" t="inlineStr">
        <is>
          <t>~18-26 g</t>
        </is>
      </c>
      <c r="F23" s="6" t="inlineStr">
        <is>
          <t>Oily fish - denser than white fish but excellent protein. Leaving the gravy saves ~100 kcal and ~10 g fat</t>
        </is>
      </c>
    </row>
    <row r="24">
      <c r="A24" s="6" t="inlineStr">
        <is>
          <t>Grilled chicken breast (100 g skinless)</t>
        </is>
      </c>
      <c r="B24" s="7" t="n">
        <v>160</v>
      </c>
      <c r="C24" s="7" t="n">
        <v>180</v>
      </c>
      <c r="D24" s="8">
        <f>AVERAGE(B24:C24)</f>
        <v/>
      </c>
      <c r="E24" s="5" t="inlineStr">
        <is>
          <t>~30-32 g</t>
        </is>
      </c>
      <c r="F24" s="6" t="inlineStr">
        <is>
          <t>Best protein-per-calorie item in this list</t>
        </is>
      </c>
    </row>
    <row r="25">
      <c r="A25" s="6" t="inlineStr">
        <is>
          <t>Grilled chicken breast (150 g skinless)</t>
        </is>
      </c>
      <c r="B25" s="7" t="n">
        <v>240</v>
      </c>
      <c r="C25" s="7" t="n">
        <v>270</v>
      </c>
      <c r="D25" s="8">
        <f>AVERAGE(B25:C25)</f>
        <v/>
      </c>
      <c r="E25" s="5" t="inlineStr">
        <is>
          <t>~45-48 g</t>
        </is>
      </c>
      <c r="F25" s="6" t="inlineStr"/>
    </row>
    <row r="26">
      <c r="A26" s="6" t="inlineStr">
        <is>
          <t>Honest Bowl - Grilled Chicken and Rice Bowl</t>
        </is>
      </c>
      <c r="B26" s="7" t="n">
        <v>550</v>
      </c>
      <c r="C26" s="7" t="n">
        <v>710</v>
      </c>
      <c r="D26" s="8">
        <f>AVERAGE(B26:C26)</f>
        <v/>
      </c>
      <c r="E26" s="5" t="inlineStr">
        <is>
          <t>42-48 g</t>
        </is>
      </c>
      <c r="F26" s="6" t="inlineStr">
        <is>
          <t>Menu states 42 g protein; chicken + jasmine rice + sweet potato. Sauce served separately</t>
        </is>
      </c>
    </row>
    <row r="27">
      <c r="A27" s="6" t="inlineStr">
        <is>
          <t>Brown/mushroom sauce (side pot)</t>
        </is>
      </c>
      <c r="B27" s="7" t="n">
        <v>50</v>
      </c>
      <c r="C27" s="7" t="n">
        <v>120</v>
      </c>
      <c r="D27" s="8">
        <f>AVERAGE(B27:C27)</f>
        <v/>
      </c>
      <c r="E27" s="5" t="inlineStr">
        <is>
          <t>~1-2 g</t>
        </is>
      </c>
      <c r="F27" s="6" t="inlineStr">
        <is>
          <t>Often cream or butter based - the variable in a bowl like this</t>
        </is>
      </c>
    </row>
    <row r="28">
      <c r="A28" s="6" t="inlineStr">
        <is>
          <t>Honest Bowl - Tofu Delight Bowl</t>
        </is>
      </c>
      <c r="B28" s="7" t="n">
        <v>420</v>
      </c>
      <c r="C28" s="7" t="n">
        <v>560</v>
      </c>
      <c r="D28" s="8">
        <f>AVERAGE(B28:C28)</f>
        <v/>
      </c>
      <c r="E28" s="5" t="inlineStr">
        <is>
          <t>~20 g</t>
        </is>
      </c>
      <c r="F28" s="6" t="inlineStr">
        <is>
          <t>Menu states 20 g; jasmine rice + cajun tofu + grilled eggplant. Half the protein of the chicken bowl at the same price</t>
        </is>
      </c>
    </row>
    <row r="29">
      <c r="A29" s="6" t="inlineStr">
        <is>
          <t>Chicken curry (1 takeaway container)</t>
        </is>
      </c>
      <c r="B29" s="7" t="n">
        <v>280</v>
      </c>
      <c r="C29" s="7" t="n">
        <v>420</v>
      </c>
      <c r="D29" s="8">
        <f>AVERAGE(B29:C29)</f>
        <v/>
      </c>
      <c r="E29" s="5" t="inlineStr">
        <is>
          <t>~20-28 g</t>
        </is>
      </c>
      <c r="F29" s="6" t="inlineStr">
        <is>
          <t>Kerala style; oil and coconut carry most of the calories</t>
        </is>
      </c>
    </row>
    <row r="30">
      <c r="A30" s="6" t="inlineStr">
        <is>
          <t>Grilled chicken quarter (skin on)</t>
        </is>
      </c>
      <c r="B30" s="7" t="n">
        <v>250</v>
      </c>
      <c r="C30" s="7" t="n">
        <v>320</v>
      </c>
      <c r="D30" s="8">
        <f>AVERAGE(B30:C30)</f>
        <v/>
      </c>
      <c r="E30" s="5" t="inlineStr">
        <is>
          <t>~28-33 g</t>
        </is>
      </c>
      <c r="F30" s="6" t="inlineStr">
        <is>
          <t>Skin adds ~12-15 g fat over breast</t>
        </is>
      </c>
    </row>
    <row r="31">
      <c r="A31" s="6" t="inlineStr">
        <is>
          <t>Whole grilled chicken - skin eaten</t>
        </is>
      </c>
      <c r="B31" s="7" t="n">
        <v>1200</v>
      </c>
      <c r="C31" s="7" t="n">
        <v>1600</v>
      </c>
      <c r="D31" s="8">
        <f>AVERAGE(B31:C31)</f>
        <v/>
      </c>
      <c r="E31" s="5" t="inlineStr">
        <is>
          <t>~125-140 g</t>
        </is>
      </c>
      <c r="F31" s="6" t="inlineStr">
        <is>
          <t>A 900-1200 g raw bird. Skin carries most of the fat</t>
        </is>
      </c>
    </row>
    <row r="32">
      <c r="A32" s="6" t="inlineStr">
        <is>
          <t>Whole grilled chicken - skin removed</t>
        </is>
      </c>
      <c r="B32" s="7" t="n">
        <v>750</v>
      </c>
      <c r="C32" s="7" t="n">
        <v>900</v>
      </c>
      <c r="D32" s="8">
        <f>AVERAGE(B32:C32)</f>
        <v/>
      </c>
      <c r="E32" s="5" t="inlineStr">
        <is>
          <t>~120-135 g</t>
        </is>
      </c>
      <c r="F32" s="6" t="inlineStr">
        <is>
          <t>Same protein for roughly half the calories</t>
        </is>
      </c>
    </row>
    <row r="33">
      <c r="A33" s="6" t="inlineStr">
        <is>
          <t>Half grilled chicken - skin removed</t>
        </is>
      </c>
      <c r="B33" s="7" t="n">
        <v>375</v>
      </c>
      <c r="C33" s="7" t="n">
        <v>450</v>
      </c>
      <c r="D33" s="8">
        <f>AVERAGE(B33:C33)</f>
        <v/>
      </c>
      <c r="E33" s="5" t="inlineStr">
        <is>
          <t>~60-68 g</t>
        </is>
      </c>
      <c r="F33" s="6" t="inlineStr">
        <is>
          <t>The realistic single portion; 15.6 g protein per 100 kcal</t>
        </is>
      </c>
    </row>
    <row r="34">
      <c r="A34" s="6" t="inlineStr">
        <is>
          <t>Half grilled chicken - skin on</t>
        </is>
      </c>
      <c r="B34" s="7" t="n">
        <v>600</v>
      </c>
      <c r="C34" s="7" t="n">
        <v>800</v>
      </c>
      <c r="D34" s="8">
        <f>AVERAGE(B34:C34)</f>
        <v/>
      </c>
      <c r="E34" s="5" t="inlineStr">
        <is>
          <t>~62-70 g</t>
        </is>
      </c>
      <c r="F34" s="6" t="inlineStr">
        <is>
          <t>As served. The skin adds ~290 kcal and ~29 g fat for ~2 g protein</t>
        </is>
      </c>
    </row>
    <row r="35">
      <c r="A35" s="6" t="inlineStr">
        <is>
          <t>Quarter grilled chicken - skin removed</t>
        </is>
      </c>
      <c r="B35" s="7" t="n">
        <v>190</v>
      </c>
      <c r="C35" s="7" t="n">
        <v>225</v>
      </c>
      <c r="D35" s="8">
        <f>AVERAGE(B35:C35)</f>
        <v/>
      </c>
      <c r="E35" s="5" t="inlineStr">
        <is>
          <t>~30-34 g</t>
        </is>
      </c>
      <c r="F35" s="6" t="inlineStr">
        <is>
          <t>Half the above; the size that fits inside a normal day</t>
        </is>
      </c>
    </row>
    <row r="36">
      <c r="A36" s="6" t="inlineStr">
        <is>
          <t>Garlic sauce / toum (1 tbsp)</t>
        </is>
      </c>
      <c r="B36" s="7" t="n">
        <v>90</v>
      </c>
      <c r="C36" s="7" t="n">
        <v>110</v>
      </c>
      <c r="D36" s="8">
        <f>AVERAGE(B36:C36)</f>
        <v/>
      </c>
      <c r="E36" s="5" t="inlineStr">
        <is>
          <t>0 g</t>
        </is>
      </c>
      <c r="F36" s="6" t="inlineStr">
        <is>
          <t>Essentially emulsified oil - the hidden cost at a grill</t>
        </is>
      </c>
    </row>
    <row r="37">
      <c r="A37" s="6" t="inlineStr">
        <is>
          <t>Khubz / pita (1 large)</t>
        </is>
      </c>
      <c r="B37" s="7" t="n">
        <v>250</v>
      </c>
      <c r="C37" s="7" t="n">
        <v>300</v>
      </c>
      <c r="D37" s="8">
        <f>AVERAGE(B37:C37)</f>
        <v/>
      </c>
      <c r="E37" s="5" t="inlineStr">
        <is>
          <t>~8-9 g</t>
        </is>
      </c>
      <c r="F37" s="6" t="inlineStr"/>
    </row>
    <row r="38">
      <c r="A38" s="6" t="inlineStr">
        <is>
          <t>Barik/basmati rice (half container cooked)</t>
        </is>
      </c>
      <c r="B38" s="7" t="n">
        <v>200</v>
      </c>
      <c r="C38" s="7" t="n">
        <v>280</v>
      </c>
      <c r="D38" s="8">
        <f>AVERAGE(B38:C38)</f>
        <v/>
      </c>
      <c r="E38" s="5" t="inlineStr">
        <is>
          <t>~4-5 g</t>
        </is>
      </c>
      <c r="F38" s="6" t="inlineStr"/>
    </row>
    <row r="39">
      <c r="A39" s="6" t="inlineStr">
        <is>
          <t>Fresh pineapple juice (350-450 ml)</t>
        </is>
      </c>
      <c r="B39" s="7" t="n">
        <v>175</v>
      </c>
      <c r="C39" s="7" t="n">
        <v>240</v>
      </c>
      <c r="D39" s="8">
        <f>AVERAGE(B39:C39)</f>
        <v/>
      </c>
      <c r="E39" s="5" t="inlineStr">
        <is>
          <t>~1-2 g</t>
        </is>
      </c>
      <c r="F39" s="6" t="inlineStr">
        <is>
          <t>No added sugar but ~35-45 g natural sugar; no fibre; almost no protein</t>
        </is>
      </c>
    </row>
    <row r="40">
      <c r="A40" s="6" t="inlineStr">
        <is>
          <t>Fresh orange juice (350-450 ml)</t>
        </is>
      </c>
      <c r="B40" s="7" t="n">
        <v>155</v>
      </c>
      <c r="C40" s="7" t="n">
        <v>205</v>
      </c>
      <c r="D40" s="8">
        <f>AVERAGE(B40:C40)</f>
        <v/>
      </c>
      <c r="E40" s="5" t="inlineStr">
        <is>
          <t>~2-3 g</t>
        </is>
      </c>
      <c r="F40" s="6" t="inlineStr">
        <is>
          <t>No added sugar but ~32-40 g natural sugar; no fibre</t>
        </is>
      </c>
    </row>
    <row r="41">
      <c r="A41" s="6" t="inlineStr">
        <is>
          <t>Whey scoop (in water)</t>
        </is>
      </c>
      <c r="B41" s="7" t="n">
        <v>100</v>
      </c>
      <c r="C41" s="7" t="n">
        <v>120</v>
      </c>
      <c r="D41" s="8">
        <f>AVERAGE(B41:C41)</f>
        <v/>
      </c>
      <c r="E41" s="5" t="inlineStr">
        <is>
          <t>~20-25 g</t>
        </is>
      </c>
      <c r="F41" s="6" t="inlineStr"/>
    </row>
    <row r="42">
      <c r="A42" s="6" t="inlineStr">
        <is>
          <t>Greek yogurt (200 g plain low-fat)</t>
        </is>
      </c>
      <c r="B42" s="7" t="n">
        <v>120</v>
      </c>
      <c r="C42" s="7" t="n">
        <v>140</v>
      </c>
      <c r="D42" s="8">
        <f>AVERAGE(B42:C42)</f>
        <v/>
      </c>
      <c r="E42" s="5" t="inlineStr">
        <is>
          <t>~18-20 g</t>
        </is>
      </c>
      <c r="F42" s="6" t="inlineStr">
        <is>
          <t>Casein - digests slowly; good overnight</t>
        </is>
      </c>
    </row>
    <row r="43">
      <c r="A43" s="6" t="inlineStr">
        <is>
          <t>Boiled egg (1 large)</t>
        </is>
      </c>
      <c r="B43" s="7" t="n">
        <v>70</v>
      </c>
      <c r="C43" s="7" t="n">
        <v>78</v>
      </c>
      <c r="D43" s="8">
        <f>AVERAGE(B43:C43)</f>
        <v/>
      </c>
      <c r="E43" s="5" t="inlineStr">
        <is>
          <t>~6-6.5 g</t>
        </is>
      </c>
      <c r="F43" s="6" t="inlineStr">
        <is>
          <t>~5 g fat each</t>
        </is>
      </c>
    </row>
    <row r="44">
      <c r="A44" s="6" t="inlineStr">
        <is>
          <t>Egg fried dry with no oil (1)</t>
        </is>
      </c>
      <c r="B44" s="7" t="n">
        <v>70</v>
      </c>
      <c r="C44" s="7" t="n">
        <v>78</v>
      </c>
      <c r="D44" s="8">
        <f>AVERAGE(B44:C44)</f>
        <v/>
      </c>
      <c r="E44" s="5" t="inlineStr">
        <is>
          <t>~6-6.5 g</t>
        </is>
      </c>
      <c r="F44" s="6" t="inlineStr">
        <is>
          <t>Same as boiled - dry-frying saves the ~20-25 kcal per egg that pan oil adds</t>
        </is>
      </c>
    </row>
    <row r="45">
      <c r="A45" s="6" t="inlineStr">
        <is>
          <t>Paneer (50 g full-fat)</t>
        </is>
      </c>
      <c r="B45" s="7" t="n">
        <v>130</v>
      </c>
      <c r="C45" s="7" t="n">
        <v>150</v>
      </c>
      <c r="D45" s="8">
        <f>AVERAGE(B45:C45)</f>
        <v/>
      </c>
      <c r="E45" s="5" t="inlineStr">
        <is>
          <t>~8-9 g</t>
        </is>
      </c>
      <c r="F45" s="6" t="inlineStr">
        <is>
          <t>Fat-dense for the protein it gives</t>
        </is>
      </c>
    </row>
    <row r="46">
      <c r="A46" s="6" t="inlineStr">
        <is>
          <t>Cucumber (1 medium)</t>
        </is>
      </c>
      <c r="B46" s="7" t="n">
        <v>25</v>
      </c>
      <c r="C46" s="7" t="n">
        <v>30</v>
      </c>
      <c r="D46" s="8">
        <f>AVERAGE(B46:C46)</f>
        <v/>
      </c>
      <c r="E46" s="5" t="inlineStr">
        <is>
          <t>~1.5 g</t>
        </is>
      </c>
      <c r="F46" s="6" t="inlineStr">
        <is>
          <t>Volume with almost no calories</t>
        </is>
      </c>
    </row>
    <row r="47">
      <c r="A47" s="6" t="inlineStr">
        <is>
          <t>Sweet melon / cantaloupe (1 wedge ~100-150 g)</t>
        </is>
      </c>
      <c r="B47" s="7" t="n">
        <v>35</v>
      </c>
      <c r="C47" s="7" t="n">
        <v>55</v>
      </c>
      <c r="D47" s="8">
        <f>AVERAGE(B47:C47)</f>
        <v/>
      </c>
      <c r="E47" s="5" t="inlineStr">
        <is>
          <t>~0.5-1 g</t>
        </is>
      </c>
      <c r="F47" s="6" t="inlineStr">
        <is>
          <t>Whole fruit - fibre and water intact; ~1/4 the calories of the same fruit juiced</t>
        </is>
      </c>
    </row>
    <row r="48">
      <c r="A48" s="6" t="inlineStr">
        <is>
          <t>Grapes (~100 g / 15-20 grapes)</t>
        </is>
      </c>
      <c r="B48" s="7" t="n">
        <v>60</v>
      </c>
      <c r="C48" s="7" t="n">
        <v>75</v>
      </c>
      <c r="D48" s="8">
        <f>AVERAGE(B48:C48)</f>
        <v/>
      </c>
      <c r="E48" s="5" t="inlineStr">
        <is>
          <t>~0.6 g</t>
        </is>
      </c>
      <c r="F48" s="6" t="inlineStr">
        <is>
          <t>Twice the calorie density of melon; easy to eat a large handful without noticing</t>
        </is>
      </c>
    </row>
    <row r="49">
      <c r="A49" s="6" t="inlineStr">
        <is>
          <t>Mango misiri (1 whole ~450-600 g)</t>
        </is>
      </c>
      <c r="B49" s="7" t="n">
        <v>170</v>
      </c>
      <c r="C49" s="7" t="n">
        <v>230</v>
      </c>
      <c r="D49" s="8">
        <f>AVERAGE(B49:C49)</f>
        <v/>
      </c>
      <c r="E49" s="5" t="inlineStr">
        <is>
          <t>~2-2.5 g</t>
        </is>
      </c>
      <c r="F49" s="6" t="inlineStr">
        <is>
          <t>~60-65% is edible flesh; ~35-50 g sugar but fibre intact</t>
        </is>
      </c>
    </row>
    <row r="50">
      <c r="A50" s="6" t="inlineStr">
        <is>
          <t>Diet/zero-sugar soft drink (330 ml)</t>
        </is>
      </c>
      <c r="B50" s="7" t="n">
        <v>0</v>
      </c>
      <c r="C50" s="7" t="n">
        <v>2</v>
      </c>
      <c r="D50" s="8">
        <f>AVERAGE(B50:C50)</f>
        <v/>
      </c>
      <c r="E50" s="5" t="inlineStr">
        <is>
          <t>0 g</t>
        </is>
      </c>
      <c r="F50" s="6" t="inlineStr">
        <is>
          <t>Genuinely zero - unlike fruit juice sold as no added sugar</t>
        </is>
      </c>
    </row>
    <row r="51">
      <c r="A51" s="6" t="inlineStr">
        <is>
          <t>Whey scoop (in black coffee no sugar)</t>
        </is>
      </c>
      <c r="B51" s="7" t="n">
        <v>100</v>
      </c>
      <c r="C51" s="7" t="n">
        <v>130</v>
      </c>
      <c r="D51" s="8">
        <f>AVERAGE(B51:C51)</f>
        <v/>
      </c>
      <c r="E51" s="5" t="inlineStr">
        <is>
          <t>~20-25 g</t>
        </is>
      </c>
      <c r="F51" s="6" t="inlineStr"/>
    </row>
    <row r="52">
      <c r="A52" s="6" t="inlineStr">
        <is>
          <t>Cashew/almond biscuit (1)</t>
        </is>
      </c>
      <c r="B52" s="7" t="n">
        <v>38</v>
      </c>
      <c r="C52" s="7" t="n">
        <v>38</v>
      </c>
      <c r="D52" s="8">
        <f>AVERAGE(B52:C52)</f>
        <v/>
      </c>
      <c r="E52" s="5" t="inlineStr">
        <is>
          <t>~0.5 g</t>
        </is>
      </c>
      <c r="F52" s="6" t="inlineStr"/>
    </row>
    <row r="53">
      <c r="A53" s="6" t="inlineStr">
        <is>
          <t>Chocolate bar (~50g standard)</t>
        </is>
      </c>
      <c r="B53" s="7" t="n">
        <v>245</v>
      </c>
      <c r="C53" s="7" t="n">
        <v>250</v>
      </c>
      <c r="D53" s="8">
        <f>AVERAGE(B53:C53)</f>
        <v/>
      </c>
      <c r="E53" s="5" t="inlineStr">
        <is>
          <t>~4 g</t>
        </is>
      </c>
      <c r="F53" s="6" t="inlineStr"/>
    </row>
    <row r="54">
      <c r="A54" s="6" t="inlineStr">
        <is>
          <t>Chocolate bar (70g king-size)</t>
        </is>
      </c>
      <c r="B54" s="7" t="n">
        <v>335</v>
      </c>
      <c r="C54" s="7" t="n">
        <v>335</v>
      </c>
      <c r="D54" s="8">
        <f>AVERAGE(B54:C54)</f>
        <v/>
      </c>
      <c r="E54" s="5" t="inlineStr">
        <is>
          <t>~6 g</t>
        </is>
      </c>
      <c r="F54" s="6" t="inlineStr"/>
    </row>
    <row r="55">
      <c r="A55" s="6" t="inlineStr">
        <is>
          <t>Pre-workout scoop</t>
        </is>
      </c>
      <c r="B55" s="7" t="n">
        <v>5</v>
      </c>
      <c r="C55" s="7" t="n">
        <v>15</v>
      </c>
      <c r="D55" s="8">
        <f>AVERAGE(B55:C55)</f>
        <v/>
      </c>
      <c r="E55" s="5" t="inlineStr">
        <is>
          <t>0 g</t>
        </is>
      </c>
      <c r="F55" s="6" t="inlineStr">
        <is>
          <t>Negligible</t>
        </is>
      </c>
    </row>
    <row r="56">
      <c r="A56" s="6" t="inlineStr">
        <is>
          <t>Fish oil capsule (1000 mg)</t>
        </is>
      </c>
      <c r="B56" s="7" t="n">
        <v>10</v>
      </c>
      <c r="C56" s="7" t="n">
        <v>12</v>
      </c>
      <c r="D56" s="8">
        <f>AVERAGE(B56:C56)</f>
        <v/>
      </c>
      <c r="E56" s="5" t="inlineStr">
        <is>
          <t>0 g</t>
        </is>
      </c>
      <c r="F56" s="6" t="inlineStr">
        <is>
          <t>1 g of oil. 1000 mg fish oil is typically only ~300 mg EPA+DHA</t>
        </is>
      </c>
    </row>
    <row r="57">
      <c r="A57" s="6" t="inlineStr">
        <is>
          <t>Vitamin D3 softgel (50000 IU)</t>
        </is>
      </c>
      <c r="B57" s="7" t="n">
        <v>5</v>
      </c>
      <c r="C57" s="7" t="n">
        <v>10</v>
      </c>
      <c r="D57" s="8">
        <f>AVERAGE(B57:C57)</f>
        <v/>
      </c>
      <c r="E57" s="5" t="inlineStr">
        <is>
          <t>0 g</t>
        </is>
      </c>
      <c r="F57" s="6" t="inlineStr">
        <is>
          <t>Oil-base softgel. 50000 IU is a weekly or fortnightly dose strength - not daily</t>
        </is>
      </c>
    </row>
    <row r="58">
      <c r="A58" s="6" t="inlineStr">
        <is>
          <t>Boneless charcoal grilled chicken (100 g cooked)</t>
        </is>
      </c>
      <c r="B58" s="7" t="n">
        <v>190</v>
      </c>
      <c r="C58" s="7" t="n">
        <v>230</v>
      </c>
      <c r="D58" s="8">
        <f>AVERAGE(B58:C58)</f>
        <v/>
      </c>
      <c r="E58" s="5" t="inlineStr">
        <is>
          <t>~27-30 g</t>
        </is>
      </c>
      <c r="F58" s="6" t="inlineStr">
        <is>
          <t>13 g protein per 100 kcal - the best whole-food protein source on any menu logged</t>
        </is>
      </c>
    </row>
    <row r="59">
      <c r="A59" s="6" t="inlineStr">
        <is>
          <t>Boneless charcoal grilled chicken (1 kg order)</t>
        </is>
      </c>
      <c r="B59" s="7" t="n">
        <v>1400</v>
      </c>
      <c r="C59" s="7" t="n">
        <v>2300</v>
      </c>
      <c r="D59" s="8">
        <f>AVERAGE(B59:C59)</f>
        <v/>
      </c>
      <c r="E59" s="5" t="inlineStr">
        <is>
          <t>~190-300 g</t>
        </is>
      </c>
      <c r="F59" s="6" t="inlineStr">
        <is>
          <t>A 3-4 person portion. Range depends on whether 1 kg is the raw or the served weight</t>
        </is>
      </c>
    </row>
    <row r="60">
      <c r="A60" s="6" t="inlineStr">
        <is>
          <t>Stuffed squid - koonthal nirachathu (1 small)</t>
        </is>
      </c>
      <c r="B60" s="7" t="n">
        <v>130</v>
      </c>
      <c r="C60" s="7" t="n">
        <v>200</v>
      </c>
      <c r="D60" s="8">
        <f>AVERAGE(B60:C60)</f>
        <v/>
      </c>
      <c r="E60" s="5" t="inlineStr">
        <is>
          <t>~10-14 g</t>
        </is>
      </c>
      <c r="F60" s="6" t="inlineStr">
        <is>
          <t>7.3 g protein per 100 kcal. Squid itself is very lean; nearly all the fat is frying oil</t>
        </is>
      </c>
    </row>
    <row r="61">
      <c r="A61" s="6" t="inlineStr">
        <is>
          <t>Low-calorie gelato (1 serving ~125 ml)</t>
        </is>
      </c>
      <c r="B61" s="7" t="n">
        <v>80</v>
      </c>
      <c r="C61" s="7" t="n">
        <v>95</v>
      </c>
      <c r="D61" s="8">
        <f>AVERAGE(B61:C61)</f>
        <v/>
      </c>
      <c r="E61" s="5" t="inlineStr">
        <is>
          <t>~1-3 g</t>
        </is>
      </c>
      <c r="F61" s="6" t="inlineStr">
        <is>
          <t>86 kcal per serving - a 500 ml tub is ~4 servings, so ~344 kcal</t>
        </is>
      </c>
    </row>
    <row r="62">
      <c r="A62" s="6" t="inlineStr">
        <is>
          <t>Low-calorie gelato (whole 500 ml tub)</t>
        </is>
      </c>
      <c r="B62" s="7" t="n">
        <v>330</v>
      </c>
      <c r="C62" s="7" t="n">
        <v>360</v>
      </c>
      <c r="D62" s="8">
        <f>AVERAGE(B62:C62)</f>
        <v/>
      </c>
      <c r="E62" s="5" t="inlineStr">
        <is>
          <t>~5-10 g</t>
        </is>
      </c>
      <c r="F62" s="6" t="inlineStr">
        <is>
          <t>Sweetened with oligofructose; a whole tub is 20-30 g of added fibre and commonly causes bloating</t>
        </is>
      </c>
    </row>
    <row r="63">
      <c r="A63" s="6" t="inlineStr">
        <is>
          <t>Pazham pori (banana fritter)</t>
        </is>
      </c>
      <c r="B63" s="7" t="n">
        <v>150</v>
      </c>
      <c r="C63" s="7" t="n">
        <v>220</v>
      </c>
      <c r="D63" s="8">
        <f>AVERAGE(B63:C63)</f>
        <v/>
      </c>
      <c r="E63" s="5" t="inlineStr">
        <is>
          <t>~2-3 g</t>
        </is>
      </c>
      <c r="F63" s="6" t="inlineStr">
        <is>
          <t>Ripe banana in sweetened batter, deep fried. 1.4 g protein per 100 kcal - the lowest density logged</t>
        </is>
      </c>
    </row>
    <row r="64">
      <c r="A64" s="6" t="inlineStr">
        <is>
          <t>Beef curry (2 small pieces)</t>
        </is>
      </c>
      <c r="B64" s="7" t="n">
        <v>70</v>
      </c>
      <c r="C64" s="7" t="n">
        <v>110</v>
      </c>
      <c r="D64" s="8">
        <f>AVERAGE(B64:C64)</f>
        <v/>
      </c>
      <c r="E64" s="5" t="inlineStr">
        <is>
          <t>~8-12 g</t>
        </is>
      </c>
      <c r="F64" s="6" t="inlineStr">
        <is>
          <t>Meat only, gravy not counted. ~11 g protein per 100 kcal</t>
        </is>
      </c>
    </row>
    <row r="65">
      <c r="A65" s="6" t="inlineStr">
        <is>
          <t>Walnuts (30 g - a small fist)</t>
        </is>
      </c>
      <c r="B65" s="7" t="n">
        <v>165</v>
      </c>
      <c r="C65" s="7" t="n">
        <v>230</v>
      </c>
      <c r="D65" s="8">
        <f>AVERAGE(B65:C65)</f>
        <v/>
      </c>
      <c r="E65" s="5" t="inlineStr">
        <is>
          <t>~4-5.5 g</t>
        </is>
      </c>
      <c r="F65" s="6" t="inlineStr">
        <is>
          <t>~13 halves. 654 kcal per 100 g - the most calorie-dense food logged. Brings ALA omega-3 and 2 g fibre</t>
        </is>
      </c>
    </row>
    <row r="66">
      <c r="A66" s="6" t="inlineStr">
        <is>
          <t>Laddoo (besan/rava ~50-55 g)</t>
        </is>
      </c>
      <c r="B66" s="7" t="n">
        <v>190</v>
      </c>
      <c r="C66" s="7" t="n">
        <v>280</v>
      </c>
      <c r="D66" s="8">
        <f>AVERAGE(B66:C66)</f>
        <v/>
      </c>
      <c r="E66" s="5" t="inlineStr">
        <is>
          <t>~3-5 g</t>
        </is>
      </c>
      <c r="F66" s="6" t="inlineStr">
        <is>
          <t>1.7 g protein per 100 kcal - second-lowest density logged after pazham pori. Mostly besan, sugar and ghee</t>
        </is>
      </c>
    </row>
    <row r="67">
      <c r="A67" s="6" t="inlineStr">
        <is>
          <t>Boiled chicken no oil (100 g cooked)</t>
        </is>
      </c>
      <c r="B67" s="7" t="n">
        <v>150</v>
      </c>
      <c r="C67" s="7" t="n">
        <v>200</v>
      </c>
      <c r="D67" s="8">
        <f>AVERAGE(B67:C67)</f>
        <v/>
      </c>
      <c r="E67" s="5" t="inlineStr">
        <is>
          <t>~25-31 g</t>
        </is>
      </c>
      <c r="F67" s="6" t="inlineStr">
        <is>
          <t>~17.5 g protein per 100 kcal - the highest-density whole food in this log, ahead of grilled chicken at 13</t>
        </is>
      </c>
    </row>
    <row r="68">
      <c r="A68" s="6" t="inlineStr">
        <is>
          <t>Boiled chicken no oil (400 g cooked)</t>
        </is>
      </c>
      <c r="B68" s="7" t="n">
        <v>600</v>
      </c>
      <c r="C68" s="7" t="n">
        <v>800</v>
      </c>
      <c r="D68" s="8">
        <f>AVERAGE(B68:C68)</f>
        <v/>
      </c>
      <c r="E68" s="5" t="inlineStr">
        <is>
          <t>~100-124 g</t>
        </is>
      </c>
      <c r="F68" s="6" t="inlineStr">
        <is>
          <t>A single serving that clears the entire daily protein floor</t>
        </is>
      </c>
    </row>
    <row r="69">
      <c r="A69" s="6" t="inlineStr">
        <is>
          <t>Chicken broth no oil (1 bowl)</t>
        </is>
      </c>
      <c r="B69" s="7" t="n">
        <v>30</v>
      </c>
      <c r="C69" s="7" t="n">
        <v>70</v>
      </c>
      <c r="D69" s="8">
        <f>AVERAGE(B69:C69)</f>
        <v/>
      </c>
      <c r="E69" s="5" t="inlineStr">
        <is>
          <t>~3-6 g</t>
        </is>
      </c>
      <c r="F69" s="6" t="inlineStr">
        <is>
          <t>Boiling liquid with no added fat; near-free calories</t>
        </is>
      </c>
    </row>
    <row r="70">
      <c r="A70" s="6" t="inlineStr">
        <is>
          <t>French fries (100 g)</t>
        </is>
      </c>
      <c r="B70" s="7" t="n">
        <v>300</v>
      </c>
      <c r="C70" s="7" t="n">
        <v>340</v>
      </c>
      <c r="D70" s="8">
        <f>AVERAGE(B70:C70)</f>
        <v/>
      </c>
      <c r="E70" s="5" t="inlineStr">
        <is>
          <t>~3-4 g</t>
        </is>
      </c>
      <c r="F70" s="6" t="inlineStr">
        <is>
          <t>1.1 g protein per 100 kcal - the lowest density of any item in this table</t>
        </is>
      </c>
    </row>
    <row r="71">
      <c r="A71" s="6" t="inlineStr">
        <is>
          <t>Shish tawook / grilled chicken cubes (100 g)</t>
        </is>
      </c>
      <c r="B71" s="7" t="n">
        <v>190</v>
      </c>
      <c r="C71" s="7" t="n">
        <v>215</v>
      </c>
      <c r="D71" s="8">
        <f>AVERAGE(B71:C71)</f>
        <v/>
      </c>
      <c r="E71" s="5" t="inlineStr">
        <is>
          <t>~28-32 g</t>
        </is>
      </c>
      <c r="F71" s="6" t="inlineStr">
        <is>
          <t>15 g protein per 100 kcal - lean, marinated, no skin</t>
        </is>
      </c>
    </row>
    <row r="72">
      <c r="A72" s="6" t="inlineStr">
        <is>
          <t>Kofta / grilled minced beef (100 g)</t>
        </is>
      </c>
      <c r="B72" s="7" t="n">
        <v>260</v>
      </c>
      <c r="C72" s="7" t="n">
        <v>300</v>
      </c>
      <c r="D72" s="8">
        <f>AVERAGE(B72:C72)</f>
        <v/>
      </c>
      <c r="E72" s="5" t="inlineStr">
        <is>
          <t>~20-24 g</t>
        </is>
      </c>
      <c r="F72" s="6" t="inlineStr">
        <is>
          <t>~8 g per 100 kcal; fattier than chicken but still a real protein source</t>
        </is>
      </c>
    </row>
    <row r="73">
      <c r="A73" s="6" t="inlineStr">
        <is>
          <t>Saj / markook bread (1 large sheet)</t>
        </is>
      </c>
      <c r="B73" s="7" t="n">
        <v>230</v>
      </c>
      <c r="C73" s="7" t="n">
        <v>280</v>
      </c>
      <c r="D73" s="8">
        <f>AVERAGE(B73:C73)</f>
        <v/>
      </c>
      <c r="E73" s="5" t="inlineStr">
        <is>
          <t>~7-9 g</t>
        </is>
      </c>
      <c r="F73" s="6" t="inlineStr">
        <is>
          <t>Thin unleavened flatbread; larger than it looks when folded</t>
        </is>
      </c>
    </row>
    <row r="74">
      <c r="A74" s="6" t="inlineStr">
        <is>
          <t>Mutton soup + boiled mutton pieces (1 serving)</t>
        </is>
      </c>
      <c r="B74" s="7" t="n">
        <v>700</v>
      </c>
      <c r="C74" s="7" t="n">
        <v>870</v>
      </c>
      <c r="D74" s="8">
        <f>AVERAGE(B74:C74)</f>
        <v/>
      </c>
      <c r="E74" s="5" t="inlineStr">
        <is>
          <t>~55-65 g</t>
        </is>
      </c>
      <c r="F74" s="6" t="inlineStr">
        <is>
          <t>~7.6 g protein per 100 kcal. Fat-heavy - mutton renders far more than chicken, ~60 g in a serving</t>
        </is>
      </c>
    </row>
  </sheetData>
  <mergeCells count="1">
    <mergeCell ref="A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2026-09-30T15:29:37Z</dcterms:created>
  <dcterms:modified xsi:type="dcterms:W3CDTF">2026-09-30T15:29:37Z</dcterms:modified>
</cp:coreProperties>
</file>