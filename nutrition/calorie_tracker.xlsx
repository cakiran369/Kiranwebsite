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SUMIFS(Meals!$D$5:$D$49,Meals!$A$5:$A$49,$A5,Meals!$M$5:$M$49,"logged")</f>
        <v/>
      </c>
      <c r="C5" s="8">
        <f>SUMIFS(Meals!$E$5:$E$49,Meals!$A$5:$A$49,$A5,Meals!$M$5:$M$49,"logged")</f>
        <v/>
      </c>
      <c r="D5" s="8">
        <f>AVERAGE(B5:C5)</f>
        <v/>
      </c>
      <c r="E5" s="10">
        <f>SUMIFS(Meals!$G$5:$G$49,Meals!$A$5:$A$49,$A5,Meals!$M$5:$M$49,"logged")</f>
        <v/>
      </c>
      <c r="F5" s="10">
        <f>SUMIFS(Meals!$H$5:$H$49,Meals!$A$5:$A$49,$A5,Meals!$M$5:$M$49,"logged")</f>
        <v/>
      </c>
      <c r="G5" s="10">
        <f>AVERAGE(E5:F5)</f>
        <v/>
      </c>
      <c r="H5" s="10">
        <f>SUMIFS(Meals!$J$5:$J$49,Meals!$A$5:$A$49,$A5,Meals!$M$5:$M$49,"logged")</f>
        <v/>
      </c>
      <c r="I5" s="10">
        <f>SUMIFS(Meals!$K$5:$K$49,Meals!$A$5:$A$49,$A5,Meals!$M$5:$M$49,"logged")</f>
        <v/>
      </c>
      <c r="J5" s="10">
        <f>AVERAGE(H5:I5)</f>
        <v/>
      </c>
      <c r="K5" s="18">
        <f>COUNTIFS(Meals!$A$5:$A$49,$A5,Meals!$M$5:$M$49,"logged")</f>
        <v/>
      </c>
      <c r="L5" s="18">
        <f>COUNTIFS(Meals!$A$5:$A$49,$A5,Meals!$M$5:$M$49,"pending")</f>
        <v/>
      </c>
      <c r="M5" s="19">
        <f>D5-Targets!$B$16</f>
        <v/>
      </c>
    </row>
    <row r="6">
      <c r="A6" s="20" t="n">
        <v>46270</v>
      </c>
      <c r="B6" s="21">
        <f>SUMIFS(Meals!$D$5:$D$49,Meals!$A$5:$A$49,$A6,Meals!$M$5:$M$49,"logged")</f>
        <v/>
      </c>
      <c r="C6" s="21">
        <f>SUMIFS(Meals!$E$5:$E$49,Meals!$A$5:$A$49,$A6,Meals!$M$5:$M$49,"logged")</f>
        <v/>
      </c>
      <c r="D6" s="21">
        <f>AVERAGE(B6:C6)</f>
        <v/>
      </c>
      <c r="E6" s="22">
        <f>SUMIFS(Meals!$G$5:$G$49,Meals!$A$5:$A$49,$A6,Meals!$M$5:$M$49,"logged")</f>
        <v/>
      </c>
      <c r="F6" s="22">
        <f>SUMIFS(Meals!$H$5:$H$49,Meals!$A$5:$A$49,$A6,Meals!$M$5:$M$49,"logged")</f>
        <v/>
      </c>
      <c r="G6" s="22">
        <f>AVERAGE(E6:F6)</f>
        <v/>
      </c>
      <c r="H6" s="22">
        <f>SUMIFS(Meals!$J$5:$J$49,Meals!$A$5:$A$49,$A6,Meals!$M$5:$M$49,"logged")</f>
        <v/>
      </c>
      <c r="I6" s="22">
        <f>SUMIFS(Meals!$K$5:$K$49,Meals!$A$5:$A$49,$A6,Meals!$M$5:$M$49,"logged")</f>
        <v/>
      </c>
      <c r="J6" s="22">
        <f>AVERAGE(H6:I6)</f>
        <v/>
      </c>
      <c r="K6" s="20">
        <f>COUNTIFS(Meals!$A$5:$A$49,$A6,Meals!$M$5:$M$49,"logged")</f>
        <v/>
      </c>
      <c r="L6" s="20">
        <f>COUNTIFS(Meals!$A$5:$A$49,$A6,Meals!$M$5:$M$49,"pending")</f>
        <v/>
      </c>
      <c r="M6" s="23">
        <f>D6-Targets!$B$16</f>
        <v/>
      </c>
    </row>
    <row r="7">
      <c r="A7" s="18" t="n">
        <v>46271</v>
      </c>
      <c r="B7" s="8">
        <f>SUMIFS(Meals!$D$5:$D$49,Meals!$A$5:$A$49,$A7,Meals!$M$5:$M$49,"logged")</f>
        <v/>
      </c>
      <c r="C7" s="8">
        <f>SUMIFS(Meals!$E$5:$E$49,Meals!$A$5:$A$49,$A7,Meals!$M$5:$M$49,"logged")</f>
        <v/>
      </c>
      <c r="D7" s="8">
        <f>AVERAGE(B7:C7)</f>
        <v/>
      </c>
      <c r="E7" s="10">
        <f>SUMIFS(Meals!$G$5:$G$49,Meals!$A$5:$A$49,$A7,Meals!$M$5:$M$49,"logged")</f>
        <v/>
      </c>
      <c r="F7" s="10">
        <f>SUMIFS(Meals!$H$5:$H$49,Meals!$A$5:$A$49,$A7,Meals!$M$5:$M$49,"logged")</f>
        <v/>
      </c>
      <c r="G7" s="10">
        <f>AVERAGE(E7:F7)</f>
        <v/>
      </c>
      <c r="H7" s="10">
        <f>SUMIFS(Meals!$J$5:$J$49,Meals!$A$5:$A$49,$A7,Meals!$M$5:$M$49,"logged")</f>
        <v/>
      </c>
      <c r="I7" s="10">
        <f>SUMIFS(Meals!$K$5:$K$49,Meals!$A$5:$A$49,$A7,Meals!$M$5:$M$49,"logged")</f>
        <v/>
      </c>
      <c r="J7" s="10">
        <f>AVERAGE(H7:I7)</f>
        <v/>
      </c>
      <c r="K7" s="18">
        <f>COUNTIFS(Meals!$A$5:$A$49,$A7,Meals!$M$5:$M$49,"logged")</f>
        <v/>
      </c>
      <c r="L7" s="18">
        <f>COUNTIFS(Meals!$A$5:$A$49,$A7,Meals!$M$5:$M$49,"pending")</f>
        <v/>
      </c>
      <c r="M7" s="19">
        <f>D7-Targets!$B$16</f>
        <v/>
      </c>
    </row>
    <row r="8">
      <c r="A8" s="20" t="n">
        <v>46272</v>
      </c>
      <c r="B8" s="21">
        <f>SUMIFS(Meals!$D$5:$D$49,Meals!$A$5:$A$49,$A8,Meals!$M$5:$M$49,"logged")</f>
        <v/>
      </c>
      <c r="C8" s="21">
        <f>SUMIFS(Meals!$E$5:$E$49,Meals!$A$5:$A$49,$A8,Meals!$M$5:$M$49,"logged")</f>
        <v/>
      </c>
      <c r="D8" s="21">
        <f>AVERAGE(B8:C8)</f>
        <v/>
      </c>
      <c r="E8" s="22">
        <f>SUMIFS(Meals!$G$5:$G$49,Meals!$A$5:$A$49,$A8,Meals!$M$5:$M$49,"logged")</f>
        <v/>
      </c>
      <c r="F8" s="22">
        <f>SUMIFS(Meals!$H$5:$H$49,Meals!$A$5:$A$49,$A8,Meals!$M$5:$M$49,"logged")</f>
        <v/>
      </c>
      <c r="G8" s="22">
        <f>AVERAGE(E8:F8)</f>
        <v/>
      </c>
      <c r="H8" s="22">
        <f>SUMIFS(Meals!$J$5:$J$49,Meals!$A$5:$A$49,$A8,Meals!$M$5:$M$49,"logged")</f>
        <v/>
      </c>
      <c r="I8" s="22">
        <f>SUMIFS(Meals!$K$5:$K$49,Meals!$A$5:$A$49,$A8,Meals!$M$5:$M$49,"logged")</f>
        <v/>
      </c>
      <c r="J8" s="22">
        <f>AVERAGE(H8:I8)</f>
        <v/>
      </c>
      <c r="K8" s="20">
        <f>COUNTIFS(Meals!$A$5:$A$49,$A8,Meals!$M$5:$M$49,"logged")</f>
        <v/>
      </c>
      <c r="L8" s="20">
        <f>COUNTIFS(Meals!$A$5:$A$49,$A8,Meals!$M$5:$M$49,"pending")</f>
        <v/>
      </c>
      <c r="M8" s="23">
        <f>D8-Targets!$B$16</f>
        <v/>
      </c>
    </row>
    <row r="9">
      <c r="A9" s="18" t="n">
        <v>46273</v>
      </c>
      <c r="B9" s="8">
        <f>SUMIFS(Meals!$D$5:$D$49,Meals!$A$5:$A$49,$A9,Meals!$M$5:$M$49,"logged")</f>
        <v/>
      </c>
      <c r="C9" s="8">
        <f>SUMIFS(Meals!$E$5:$E$49,Meals!$A$5:$A$49,$A9,Meals!$M$5:$M$49,"logged")</f>
        <v/>
      </c>
      <c r="D9" s="8">
        <f>AVERAGE(B9:C9)</f>
        <v/>
      </c>
      <c r="E9" s="10">
        <f>SUMIFS(Meals!$G$5:$G$49,Meals!$A$5:$A$49,$A9,Meals!$M$5:$M$49,"logged")</f>
        <v/>
      </c>
      <c r="F9" s="10">
        <f>SUMIFS(Meals!$H$5:$H$49,Meals!$A$5:$A$49,$A9,Meals!$M$5:$M$49,"logged")</f>
        <v/>
      </c>
      <c r="G9" s="10">
        <f>AVERAGE(E9:F9)</f>
        <v/>
      </c>
      <c r="H9" s="10">
        <f>SUMIFS(Meals!$J$5:$J$49,Meals!$A$5:$A$49,$A9,Meals!$M$5:$M$49,"logged")</f>
        <v/>
      </c>
      <c r="I9" s="10">
        <f>SUMIFS(Meals!$K$5:$K$49,Meals!$A$5:$A$49,$A9,Meals!$M$5:$M$49,"logged")</f>
        <v/>
      </c>
      <c r="J9" s="10">
        <f>AVERAGE(H9:I9)</f>
        <v/>
      </c>
      <c r="K9" s="18">
        <f>COUNTIFS(Meals!$A$5:$A$49,$A9,Meals!$M$5:$M$49,"logged")</f>
        <v/>
      </c>
      <c r="L9" s="18">
        <f>COUNTIFS(Meals!$A$5:$A$49,$A9,Meals!$M$5:$M$49,"pending")</f>
        <v/>
      </c>
      <c r="M9" s="19">
        <f>D9-Targets!$B$16</f>
        <v/>
      </c>
    </row>
    <row r="10">
      <c r="A10" s="20" t="n">
        <v>46274</v>
      </c>
      <c r="B10" s="21">
        <f>SUMIFS(Meals!$D$5:$D$49,Meals!$A$5:$A$49,$A10,Meals!$M$5:$M$49,"logged")</f>
        <v/>
      </c>
      <c r="C10" s="21">
        <f>SUMIFS(Meals!$E$5:$E$49,Meals!$A$5:$A$49,$A10,Meals!$M$5:$M$49,"logged")</f>
        <v/>
      </c>
      <c r="D10" s="21">
        <f>AVERAGE(B10:C10)</f>
        <v/>
      </c>
      <c r="E10" s="22">
        <f>SUMIFS(Meals!$G$5:$G$49,Meals!$A$5:$A$49,$A10,Meals!$M$5:$M$49,"logged")</f>
        <v/>
      </c>
      <c r="F10" s="22">
        <f>SUMIFS(Meals!$H$5:$H$49,Meals!$A$5:$A$49,$A10,Meals!$M$5:$M$49,"logged")</f>
        <v/>
      </c>
      <c r="G10" s="22">
        <f>AVERAGE(E10:F10)</f>
        <v/>
      </c>
      <c r="H10" s="22">
        <f>SUMIFS(Meals!$J$5:$J$49,Meals!$A$5:$A$49,$A10,Meals!$M$5:$M$49,"logged")</f>
        <v/>
      </c>
      <c r="I10" s="22">
        <f>SUMIFS(Meals!$K$5:$K$49,Meals!$A$5:$A$49,$A10,Meals!$M$5:$M$49,"logged")</f>
        <v/>
      </c>
      <c r="J10" s="22">
        <f>AVERAGE(H10:I10)</f>
        <v/>
      </c>
      <c r="K10" s="20">
        <f>COUNTIFS(Meals!$A$5:$A$49,$A10,Meals!$M$5:$M$49,"logged")</f>
        <v/>
      </c>
      <c r="L10" s="20">
        <f>COUNTIFS(Meals!$A$5:$A$49,$A10,Meals!$M$5:$M$49,"pending")</f>
        <v/>
      </c>
      <c r="M10" s="23">
        <f>D10-Targets!$B$16</f>
        <v/>
      </c>
    </row>
    <row r="11">
      <c r="A11" s="18" t="n">
        <v>46275</v>
      </c>
      <c r="B11" s="8">
        <f>SUMIFS(Meals!$D$5:$D$49,Meals!$A$5:$A$49,$A11,Meals!$M$5:$M$49,"logged")</f>
        <v/>
      </c>
      <c r="C11" s="8">
        <f>SUMIFS(Meals!$E$5:$E$49,Meals!$A$5:$A$49,$A11,Meals!$M$5:$M$49,"logged")</f>
        <v/>
      </c>
      <c r="D11" s="8">
        <f>AVERAGE(B11:C11)</f>
        <v/>
      </c>
      <c r="E11" s="10">
        <f>SUMIFS(Meals!$G$5:$G$49,Meals!$A$5:$A$49,$A11,Meals!$M$5:$M$49,"logged")</f>
        <v/>
      </c>
      <c r="F11" s="10">
        <f>SUMIFS(Meals!$H$5:$H$49,Meals!$A$5:$A$49,$A11,Meals!$M$5:$M$49,"logged")</f>
        <v/>
      </c>
      <c r="G11" s="10">
        <f>AVERAGE(E11:F11)</f>
        <v/>
      </c>
      <c r="H11" s="10">
        <f>SUMIFS(Meals!$J$5:$J$49,Meals!$A$5:$A$49,$A11,Meals!$M$5:$M$49,"logged")</f>
        <v/>
      </c>
      <c r="I11" s="10">
        <f>SUMIFS(Meals!$K$5:$K$49,Meals!$A$5:$A$49,$A11,Meals!$M$5:$M$49,"logged")</f>
        <v/>
      </c>
      <c r="J11" s="10">
        <f>AVERAGE(H11:I11)</f>
        <v/>
      </c>
      <c r="K11" s="18">
        <f>COUNTIFS(Meals!$A$5:$A$49,$A11,Meals!$M$5:$M$49,"logged")</f>
        <v/>
      </c>
      <c r="L11" s="18">
        <f>COUNTIFS(Meals!$A$5:$A$49,$A11,Meals!$M$5:$M$49,"pending")</f>
        <v/>
      </c>
      <c r="M11" s="19">
        <f>D11-Targets!$B$16</f>
        <v/>
      </c>
    </row>
    <row r="12">
      <c r="A12" s="20" t="n">
        <v>46276</v>
      </c>
      <c r="B12" s="21">
        <f>SUMIFS(Meals!$D$5:$D$49,Meals!$A$5:$A$49,$A12,Meals!$M$5:$M$49,"logged")</f>
        <v/>
      </c>
      <c r="C12" s="21">
        <f>SUMIFS(Meals!$E$5:$E$49,Meals!$A$5:$A$49,$A12,Meals!$M$5:$M$49,"logged")</f>
        <v/>
      </c>
      <c r="D12" s="21">
        <f>AVERAGE(B12:C12)</f>
        <v/>
      </c>
      <c r="E12" s="22">
        <f>SUMIFS(Meals!$G$5:$G$49,Meals!$A$5:$A$49,$A12,Meals!$M$5:$M$49,"logged")</f>
        <v/>
      </c>
      <c r="F12" s="22">
        <f>SUMIFS(Meals!$H$5:$H$49,Meals!$A$5:$A$49,$A12,Meals!$M$5:$M$49,"logged")</f>
        <v/>
      </c>
      <c r="G12" s="22">
        <f>AVERAGE(E12:F12)</f>
        <v/>
      </c>
      <c r="H12" s="22">
        <f>SUMIFS(Meals!$J$5:$J$49,Meals!$A$5:$A$49,$A12,Meals!$M$5:$M$49,"logged")</f>
        <v/>
      </c>
      <c r="I12" s="22">
        <f>SUMIFS(Meals!$K$5:$K$49,Meals!$A$5:$A$49,$A12,Meals!$M$5:$M$49,"logged")</f>
        <v/>
      </c>
      <c r="J12" s="22">
        <f>AVERAGE(H12:I12)</f>
        <v/>
      </c>
      <c r="K12" s="20">
        <f>COUNTIFS(Meals!$A$5:$A$49,$A12,Meals!$M$5:$M$49,"logged")</f>
        <v/>
      </c>
      <c r="L12" s="20">
        <f>COUNTIFS(Meals!$A$5:$A$49,$A12,Meals!$M$5:$M$49,"pending")</f>
        <v/>
      </c>
      <c r="M12" s="23">
        <f>D12-Targets!$B$16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COUNT(Daily!$A$5:$A$12)</f>
        <v/>
      </c>
    </row>
    <row r="6">
      <c r="A6" s="29" t="inlineStr">
        <is>
          <t>Avg calories/day (mid)</t>
        </is>
      </c>
      <c r="B6" s="8">
        <f>IFERROR(AVERAGE(Daily!$D$5:$D$12),0)</f>
        <v/>
      </c>
    </row>
    <row r="7">
      <c r="A7" s="29" t="inlineStr">
        <is>
          <t>Avg protein/day (mid, g)</t>
        </is>
      </c>
      <c r="B7" s="10">
        <f>IFERROR(AVERAGE(Daily!$G$5:$G$12),0)</f>
        <v/>
      </c>
    </row>
    <row r="8">
      <c r="A8" s="29" t="inlineStr">
        <is>
          <t>Avg fat/day (mid, g)</t>
        </is>
      </c>
      <c r="B8" s="10">
        <f>IFERROR(AVERAGE(Daily!$J$5:$J$12),0)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COUNTIFS(Daily!$G$5:$G$12,"&gt;="&amp;Targets!$B$20)</f>
        <v/>
      </c>
    </row>
    <row r="13">
      <c r="A13" s="29" t="inlineStr">
        <is>
          <t>Total pending (unconfirmed) items</t>
        </is>
      </c>
      <c r="B13" s="18">
        <f>SUM(Daily!$L$5:$L$12)</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COUNTIFS(Daily!$A$5:$A$12,"&gt;="&amp;$A17,Daily!$A$5:$A$12,"&lt;="&amp;$B17)</f>
        <v/>
      </c>
      <c r="D17" s="8">
        <f>IFERROR(AVERAGEIFS(Daily!$D$5:$D$12,Daily!$A$5:$A$12,"&gt;="&amp;$A17,Daily!$A$5:$A$12,"&lt;="&amp;$B17),0)</f>
        <v/>
      </c>
      <c r="E17" s="10">
        <f>IFERROR(AVERAGEIFS(Daily!$G$5:$G$12,Daily!$A$5:$A$12,"&gt;="&amp;$A17,Daily!$A$5:$A$12,"&lt;="&amp;$B17),0)</f>
        <v/>
      </c>
      <c r="F17" s="10">
        <f>IFERROR(AVERAGEIFS(Daily!$J$5:$J$12,Daily!$A$5:$A$12,"&gt;="&amp;$A17,Daily!$A$5:$A$12,"&lt;="&amp;$B17),0)</f>
        <v/>
      </c>
    </row>
    <row r="18">
      <c r="A18" s="4" t="n">
        <v>46272</v>
      </c>
      <c r="B18" s="4" t="n">
        <v>46278</v>
      </c>
      <c r="C18" s="18">
        <f>COUNTIFS(Daily!$A$5:$A$12,"&gt;="&amp;$A18,Daily!$A$5:$A$12,"&lt;="&amp;$B18)</f>
        <v/>
      </c>
      <c r="D18" s="8">
        <f>IFERROR(AVERAGEIFS(Daily!$D$5:$D$12,Daily!$A$5:$A$12,"&gt;="&amp;$A18,Daily!$A$5:$A$12,"&lt;="&amp;$B18),0)</f>
        <v/>
      </c>
      <c r="E18" s="10">
        <f>IFERROR(AVERAGEIFS(Daily!$G$5:$G$12,Daily!$A$5:$A$12,"&gt;="&amp;$A18,Daily!$A$5:$A$12,"&lt;="&amp;$B18),0)</f>
        <v/>
      </c>
      <c r="F18" s="10">
        <f>IFERROR(AVERAGEIFS(Daily!$J$5:$J$12,Daily!$A$5:$A$12,"&gt;="&amp;$A18,Daily!$A$5:$A$12,"&lt;="&amp;$B18),0)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COUNTIFS(Daily!$A$5:$A$12,"&gt;="&amp;$A22,Daily!$A$5:$A$12,"&lt;="&amp;$B22)</f>
        <v/>
      </c>
      <c r="D22" s="8">
        <f>IFERROR(AVERAGEIFS(Daily!$D$5:$D$12,Daily!$A$5:$A$12,"&gt;="&amp;$A22,Daily!$A$5:$A$12,"&lt;="&amp;$B22),0)</f>
        <v/>
      </c>
      <c r="E22" s="10">
        <f>IFERROR(AVERAGEIFS(Daily!$G$5:$G$12,Daily!$A$5:$A$12,"&gt;="&amp;$A22,Daily!$A$5:$A$12,"&lt;="&amp;$B22),0)</f>
        <v/>
      </c>
      <c r="F22" s="10">
        <f>IFERROR(AVERAGEIFS(Daily!$J$5:$J$12,Daily!$A$5:$A$12,"&gt;="&amp;$A22,Daily!$A$5:$A$12,"&lt;="&amp;$B22),0)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Garlic sauce / toum (1 tbsp)</t>
        </is>
      </c>
      <c r="B31" s="7" t="n">
        <v>90</v>
      </c>
      <c r="C31" s="7" t="n">
        <v>110</v>
      </c>
      <c r="D31" s="8">
        <f>AVERAGE(B31:C31)</f>
        <v/>
      </c>
      <c r="E31" s="5" t="inlineStr">
        <is>
          <t>0 g</t>
        </is>
      </c>
      <c r="F31" s="6" t="inlineStr">
        <is>
          <t>Essentially emulsified oil - the hidden cost at a grill</t>
        </is>
      </c>
    </row>
    <row r="32">
      <c r="A32" s="6" t="inlineStr">
        <is>
          <t>Khubz / pita (1 large)</t>
        </is>
      </c>
      <c r="B32" s="7" t="n">
        <v>250</v>
      </c>
      <c r="C32" s="7" t="n">
        <v>300</v>
      </c>
      <c r="D32" s="8">
        <f>AVERAGE(B32:C32)</f>
        <v/>
      </c>
      <c r="E32" s="5" t="inlineStr">
        <is>
          <t>~8-9 g</t>
        </is>
      </c>
      <c r="F32" s="6" t="inlineStr"/>
    </row>
    <row r="33">
      <c r="A33" s="6" t="inlineStr">
        <is>
          <t>Barik/basmati rice (half container cooked)</t>
        </is>
      </c>
      <c r="B33" s="7" t="n">
        <v>200</v>
      </c>
      <c r="C33" s="7" t="n">
        <v>280</v>
      </c>
      <c r="D33" s="8">
        <f>AVERAGE(B33:C33)</f>
        <v/>
      </c>
      <c r="E33" s="5" t="inlineStr">
        <is>
          <t>~4-5 g</t>
        </is>
      </c>
      <c r="F33" s="6" t="inlineStr"/>
    </row>
    <row r="34">
      <c r="A34" s="6" t="inlineStr">
        <is>
          <t>Fresh pineapple juice (350-450 ml)</t>
        </is>
      </c>
      <c r="B34" s="7" t="n">
        <v>175</v>
      </c>
      <c r="C34" s="7" t="n">
        <v>240</v>
      </c>
      <c r="D34" s="8">
        <f>AVERAGE(B34:C34)</f>
        <v/>
      </c>
      <c r="E34" s="5" t="inlineStr">
        <is>
          <t>~1-2 g</t>
        </is>
      </c>
      <c r="F34" s="6" t="inlineStr">
        <is>
          <t>No added sugar but ~35-45 g natural sugar; no fibre; almost no protein</t>
        </is>
      </c>
    </row>
    <row r="35">
      <c r="A35" s="6" t="inlineStr">
        <is>
          <t>Fresh orange juice (350-450 ml)</t>
        </is>
      </c>
      <c r="B35" s="7" t="n">
        <v>155</v>
      </c>
      <c r="C35" s="7" t="n">
        <v>205</v>
      </c>
      <c r="D35" s="8">
        <f>AVERAGE(B35:C35)</f>
        <v/>
      </c>
      <c r="E35" s="5" t="inlineStr">
        <is>
          <t>~2-3 g</t>
        </is>
      </c>
      <c r="F35" s="6" t="inlineStr">
        <is>
          <t>No added sugar but ~32-40 g natural sugar; no fibre</t>
        </is>
      </c>
    </row>
    <row r="36">
      <c r="A36" s="6" t="inlineStr">
        <is>
          <t>Whey scoop (in water)</t>
        </is>
      </c>
      <c r="B36" s="7" t="n">
        <v>100</v>
      </c>
      <c r="C36" s="7" t="n">
        <v>120</v>
      </c>
      <c r="D36" s="8">
        <f>AVERAGE(B36:C36)</f>
        <v/>
      </c>
      <c r="E36" s="5" t="inlineStr">
        <is>
          <t>~20-25 g</t>
        </is>
      </c>
      <c r="F36" s="6" t="inlineStr"/>
    </row>
    <row r="37">
      <c r="A37" s="6" t="inlineStr">
        <is>
          <t>Greek yogurt (200 g plain low-fat)</t>
        </is>
      </c>
      <c r="B37" s="7" t="n">
        <v>120</v>
      </c>
      <c r="C37" s="7" t="n">
        <v>140</v>
      </c>
      <c r="D37" s="8">
        <f>AVERAGE(B37:C37)</f>
        <v/>
      </c>
      <c r="E37" s="5" t="inlineStr">
        <is>
          <t>~18-20 g</t>
        </is>
      </c>
      <c r="F37" s="6" t="inlineStr">
        <is>
          <t>Casein - digests slowly; good overnight</t>
        </is>
      </c>
    </row>
    <row r="38">
      <c r="A38" s="6" t="inlineStr">
        <is>
          <t>Boiled egg (1 large)</t>
        </is>
      </c>
      <c r="B38" s="7" t="n">
        <v>70</v>
      </c>
      <c r="C38" s="7" t="n">
        <v>78</v>
      </c>
      <c r="D38" s="8">
        <f>AVERAGE(B38:C38)</f>
        <v/>
      </c>
      <c r="E38" s="5" t="inlineStr">
        <is>
          <t>~6-6.5 g</t>
        </is>
      </c>
      <c r="F38" s="6" t="inlineStr">
        <is>
          <t>~5 g fat each</t>
        </is>
      </c>
    </row>
    <row r="39">
      <c r="A39" s="6" t="inlineStr">
        <is>
          <t>Egg fried dry with no oil (1)</t>
        </is>
      </c>
      <c r="B39" s="7" t="n">
        <v>70</v>
      </c>
      <c r="C39" s="7" t="n">
        <v>78</v>
      </c>
      <c r="D39" s="8">
        <f>AVERAGE(B39:C39)</f>
        <v/>
      </c>
      <c r="E39" s="5" t="inlineStr">
        <is>
          <t>~6-6.5 g</t>
        </is>
      </c>
      <c r="F39" s="6" t="inlineStr">
        <is>
          <t>Same as boiled - dry-frying saves the ~20-25 kcal per egg that pan oil adds</t>
        </is>
      </c>
    </row>
    <row r="40">
      <c r="A40" s="6" t="inlineStr">
        <is>
          <t>Paneer (50 g full-fat)</t>
        </is>
      </c>
      <c r="B40" s="7" t="n">
        <v>130</v>
      </c>
      <c r="C40" s="7" t="n">
        <v>150</v>
      </c>
      <c r="D40" s="8">
        <f>AVERAGE(B40:C40)</f>
        <v/>
      </c>
      <c r="E40" s="5" t="inlineStr">
        <is>
          <t>~8-9 g</t>
        </is>
      </c>
      <c r="F40" s="6" t="inlineStr">
        <is>
          <t>Fat-dense for the protein it gives</t>
        </is>
      </c>
    </row>
    <row r="41">
      <c r="A41" s="6" t="inlineStr">
        <is>
          <t>Cucumber (1 medium)</t>
        </is>
      </c>
      <c r="B41" s="7" t="n">
        <v>25</v>
      </c>
      <c r="C41" s="7" t="n">
        <v>30</v>
      </c>
      <c r="D41" s="8">
        <f>AVERAGE(B41:C41)</f>
        <v/>
      </c>
      <c r="E41" s="5" t="inlineStr">
        <is>
          <t>~1.5 g</t>
        </is>
      </c>
      <c r="F41" s="6" t="inlineStr">
        <is>
          <t>Volume with almost no calories</t>
        </is>
      </c>
    </row>
    <row r="42">
      <c r="A42" s="6" t="inlineStr">
        <is>
          <t>Sweet melon / cantaloupe (1 wedge ~100-150 g)</t>
        </is>
      </c>
      <c r="B42" s="7" t="n">
        <v>35</v>
      </c>
      <c r="C42" s="7" t="n">
        <v>55</v>
      </c>
      <c r="D42" s="8">
        <f>AVERAGE(B42:C42)</f>
        <v/>
      </c>
      <c r="E42" s="5" t="inlineStr">
        <is>
          <t>~0.5-1 g</t>
        </is>
      </c>
      <c r="F42" s="6" t="inlineStr">
        <is>
          <t>Whole fruit - fibre and water intact; ~1/4 the calories of the same fruit juiced</t>
        </is>
      </c>
    </row>
    <row r="43">
      <c r="A43" s="6" t="inlineStr">
        <is>
          <t>Grapes (~100 g / 15-20 grapes)</t>
        </is>
      </c>
      <c r="B43" s="7" t="n">
        <v>60</v>
      </c>
      <c r="C43" s="7" t="n">
        <v>75</v>
      </c>
      <c r="D43" s="8">
        <f>AVERAGE(B43:C43)</f>
        <v/>
      </c>
      <c r="E43" s="5" t="inlineStr">
        <is>
          <t>~0.6 g</t>
        </is>
      </c>
      <c r="F43" s="6" t="inlineStr">
        <is>
          <t>Twice the calorie density of melon; easy to eat a large handful without noticing</t>
        </is>
      </c>
    </row>
    <row r="44">
      <c r="A44" s="6" t="inlineStr">
        <is>
          <t>Mango misiri (1 whole ~450-600 g)</t>
        </is>
      </c>
      <c r="B44" s="7" t="n">
        <v>170</v>
      </c>
      <c r="C44" s="7" t="n">
        <v>230</v>
      </c>
      <c r="D44" s="8">
        <f>AVERAGE(B44:C44)</f>
        <v/>
      </c>
      <c r="E44" s="5" t="inlineStr">
        <is>
          <t>~2-2.5 g</t>
        </is>
      </c>
      <c r="F44" s="6" t="inlineStr">
        <is>
          <t>~60-65% is edible flesh; ~35-50 g sugar but fibre intact</t>
        </is>
      </c>
    </row>
    <row r="45">
      <c r="A45" s="6" t="inlineStr">
        <is>
          <t>Diet/zero-sugar soft drink (330 ml)</t>
        </is>
      </c>
      <c r="B45" s="7" t="n">
        <v>0</v>
      </c>
      <c r="C45" s="7" t="n">
        <v>2</v>
      </c>
      <c r="D45" s="8">
        <f>AVERAGE(B45:C45)</f>
        <v/>
      </c>
      <c r="E45" s="5" t="inlineStr">
        <is>
          <t>0 g</t>
        </is>
      </c>
      <c r="F45" s="6" t="inlineStr">
        <is>
          <t>Genuinely zero - unlike fruit juice sold as no added sugar</t>
        </is>
      </c>
    </row>
    <row r="46">
      <c r="A46" s="6" t="inlineStr">
        <is>
          <t>Whey scoop (in black coffee no sugar)</t>
        </is>
      </c>
      <c r="B46" s="7" t="n">
        <v>100</v>
      </c>
      <c r="C46" s="7" t="n">
        <v>130</v>
      </c>
      <c r="D46" s="8">
        <f>AVERAGE(B46:C46)</f>
        <v/>
      </c>
      <c r="E46" s="5" t="inlineStr">
        <is>
          <t>~20-25 g</t>
        </is>
      </c>
      <c r="F46" s="6" t="inlineStr"/>
    </row>
    <row r="47">
      <c r="A47" s="6" t="inlineStr">
        <is>
          <t>Cashew/almond biscuit (1)</t>
        </is>
      </c>
      <c r="B47" s="7" t="n">
        <v>38</v>
      </c>
      <c r="C47" s="7" t="n">
        <v>38</v>
      </c>
      <c r="D47" s="8">
        <f>AVERAGE(B47:C47)</f>
        <v/>
      </c>
      <c r="E47" s="5" t="inlineStr">
        <is>
          <t>~0.5 g</t>
        </is>
      </c>
      <c r="F47" s="6" t="inlineStr"/>
    </row>
    <row r="48">
      <c r="A48" s="6" t="inlineStr">
        <is>
          <t>Chocolate bar (~50g standard)</t>
        </is>
      </c>
      <c r="B48" s="7" t="n">
        <v>245</v>
      </c>
      <c r="C48" s="7" t="n">
        <v>250</v>
      </c>
      <c r="D48" s="8">
        <f>AVERAGE(B48:C48)</f>
        <v/>
      </c>
      <c r="E48" s="5" t="inlineStr">
        <is>
          <t>~4 g</t>
        </is>
      </c>
      <c r="F48" s="6" t="inlineStr"/>
    </row>
    <row r="49">
      <c r="A49" s="6" t="inlineStr">
        <is>
          <t>Chocolate bar (70g king-size)</t>
        </is>
      </c>
      <c r="B49" s="7" t="n">
        <v>335</v>
      </c>
      <c r="C49" s="7" t="n">
        <v>335</v>
      </c>
      <c r="D49" s="8">
        <f>AVERAGE(B49:C49)</f>
        <v/>
      </c>
      <c r="E49" s="5" t="inlineStr">
        <is>
          <t>~6 g</t>
        </is>
      </c>
      <c r="F49" s="6" t="inlineStr"/>
    </row>
    <row r="50">
      <c r="A50" s="6" t="inlineStr">
        <is>
          <t>Pre-workout scoop</t>
        </is>
      </c>
      <c r="B50" s="7" t="n">
        <v>5</v>
      </c>
      <c r="C50" s="7" t="n">
        <v>15</v>
      </c>
      <c r="D50" s="8">
        <f>AVERAGE(B50:C50)</f>
        <v/>
      </c>
      <c r="E50" s="5" t="inlineStr">
        <is>
          <t>0 g</t>
        </is>
      </c>
      <c r="F5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2026-09-11T07:39:08Z</dcterms:created>
  <dcterms:modified xsi:type="dcterms:W3CDTF">2026-09-11T07:39:08Z</dcterms:modified>
</cp:coreProperties>
</file>