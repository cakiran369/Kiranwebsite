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SUMIFS(Meals!$D$5:$D$97,Meals!$A$5:$A$97,$A5,Meals!$M$5:$M$97,"logged")</f>
        <v/>
      </c>
      <c r="C5" s="8">
        <f>SUMIFS(Meals!$E$5:$E$97,Meals!$A$5:$A$97,$A5,Meals!$M$5:$M$97,"logged")</f>
        <v/>
      </c>
      <c r="D5" s="8">
        <f>AVERAGE(B5:C5)</f>
        <v/>
      </c>
      <c r="E5" s="10">
        <f>SUMIFS(Meals!$G$5:$G$97,Meals!$A$5:$A$97,$A5,Meals!$M$5:$M$97,"logged")</f>
        <v/>
      </c>
      <c r="F5" s="10">
        <f>SUMIFS(Meals!$H$5:$H$97,Meals!$A$5:$A$97,$A5,Meals!$M$5:$M$97,"logged")</f>
        <v/>
      </c>
      <c r="G5" s="10">
        <f>AVERAGE(E5:F5)</f>
        <v/>
      </c>
      <c r="H5" s="10">
        <f>SUMIFS(Meals!$J$5:$J$97,Meals!$A$5:$A$97,$A5,Meals!$M$5:$M$97,"logged")</f>
        <v/>
      </c>
      <c r="I5" s="10">
        <f>SUMIFS(Meals!$K$5:$K$97,Meals!$A$5:$A$97,$A5,Meals!$M$5:$M$97,"logged")</f>
        <v/>
      </c>
      <c r="J5" s="10">
        <f>AVERAGE(H5:I5)</f>
        <v/>
      </c>
      <c r="K5" s="18">
        <f>COUNTIFS(Meals!$A$5:$A$97,$A5,Meals!$M$5:$M$97,"logged")</f>
        <v/>
      </c>
      <c r="L5" s="18">
        <f>COUNTIFS(Meals!$A$5:$A$97,$A5,Meals!$M$5:$M$97,"pending")</f>
        <v/>
      </c>
      <c r="M5" s="19">
        <f>D5-Targets!$B$16</f>
        <v/>
      </c>
    </row>
    <row r="6">
      <c r="A6" s="20" t="n">
        <v>46270</v>
      </c>
      <c r="B6" s="21">
        <f>SUMIFS(Meals!$D$5:$D$97,Meals!$A$5:$A$97,$A6,Meals!$M$5:$M$97,"logged")</f>
        <v/>
      </c>
      <c r="C6" s="21">
        <f>SUMIFS(Meals!$E$5:$E$97,Meals!$A$5:$A$97,$A6,Meals!$M$5:$M$97,"logged")</f>
        <v/>
      </c>
      <c r="D6" s="21">
        <f>AVERAGE(B6:C6)</f>
        <v/>
      </c>
      <c r="E6" s="22">
        <f>SUMIFS(Meals!$G$5:$G$97,Meals!$A$5:$A$97,$A6,Meals!$M$5:$M$97,"logged")</f>
        <v/>
      </c>
      <c r="F6" s="22">
        <f>SUMIFS(Meals!$H$5:$H$97,Meals!$A$5:$A$97,$A6,Meals!$M$5:$M$97,"logged")</f>
        <v/>
      </c>
      <c r="G6" s="22">
        <f>AVERAGE(E6:F6)</f>
        <v/>
      </c>
      <c r="H6" s="22">
        <f>SUMIFS(Meals!$J$5:$J$97,Meals!$A$5:$A$97,$A6,Meals!$M$5:$M$97,"logged")</f>
        <v/>
      </c>
      <c r="I6" s="22">
        <f>SUMIFS(Meals!$K$5:$K$97,Meals!$A$5:$A$97,$A6,Meals!$M$5:$M$97,"logged")</f>
        <v/>
      </c>
      <c r="J6" s="22">
        <f>AVERAGE(H6:I6)</f>
        <v/>
      </c>
      <c r="K6" s="20">
        <f>COUNTIFS(Meals!$A$5:$A$97,$A6,Meals!$M$5:$M$97,"logged")</f>
        <v/>
      </c>
      <c r="L6" s="20">
        <f>COUNTIFS(Meals!$A$5:$A$97,$A6,Meals!$M$5:$M$97,"pending")</f>
        <v/>
      </c>
      <c r="M6" s="23">
        <f>D6-Targets!$B$16</f>
        <v/>
      </c>
    </row>
    <row r="7">
      <c r="A7" s="18" t="n">
        <v>46271</v>
      </c>
      <c r="B7" s="8">
        <f>SUMIFS(Meals!$D$5:$D$97,Meals!$A$5:$A$97,$A7,Meals!$M$5:$M$97,"logged")</f>
        <v/>
      </c>
      <c r="C7" s="8">
        <f>SUMIFS(Meals!$E$5:$E$97,Meals!$A$5:$A$97,$A7,Meals!$M$5:$M$97,"logged")</f>
        <v/>
      </c>
      <c r="D7" s="8">
        <f>AVERAGE(B7:C7)</f>
        <v/>
      </c>
      <c r="E7" s="10">
        <f>SUMIFS(Meals!$G$5:$G$97,Meals!$A$5:$A$97,$A7,Meals!$M$5:$M$97,"logged")</f>
        <v/>
      </c>
      <c r="F7" s="10">
        <f>SUMIFS(Meals!$H$5:$H$97,Meals!$A$5:$A$97,$A7,Meals!$M$5:$M$97,"logged")</f>
        <v/>
      </c>
      <c r="G7" s="10">
        <f>AVERAGE(E7:F7)</f>
        <v/>
      </c>
      <c r="H7" s="10">
        <f>SUMIFS(Meals!$J$5:$J$97,Meals!$A$5:$A$97,$A7,Meals!$M$5:$M$97,"logged")</f>
        <v/>
      </c>
      <c r="I7" s="10">
        <f>SUMIFS(Meals!$K$5:$K$97,Meals!$A$5:$A$97,$A7,Meals!$M$5:$M$97,"logged")</f>
        <v/>
      </c>
      <c r="J7" s="10">
        <f>AVERAGE(H7:I7)</f>
        <v/>
      </c>
      <c r="K7" s="18">
        <f>COUNTIFS(Meals!$A$5:$A$97,$A7,Meals!$M$5:$M$97,"logged")</f>
        <v/>
      </c>
      <c r="L7" s="18">
        <f>COUNTIFS(Meals!$A$5:$A$97,$A7,Meals!$M$5:$M$97,"pending")</f>
        <v/>
      </c>
      <c r="M7" s="19">
        <f>D7-Targets!$B$16</f>
        <v/>
      </c>
    </row>
    <row r="8">
      <c r="A8" s="20" t="n">
        <v>46272</v>
      </c>
      <c r="B8" s="21">
        <f>SUMIFS(Meals!$D$5:$D$97,Meals!$A$5:$A$97,$A8,Meals!$M$5:$M$97,"logged")</f>
        <v/>
      </c>
      <c r="C8" s="21">
        <f>SUMIFS(Meals!$E$5:$E$97,Meals!$A$5:$A$97,$A8,Meals!$M$5:$M$97,"logged")</f>
        <v/>
      </c>
      <c r="D8" s="21">
        <f>AVERAGE(B8:C8)</f>
        <v/>
      </c>
      <c r="E8" s="22">
        <f>SUMIFS(Meals!$G$5:$G$97,Meals!$A$5:$A$97,$A8,Meals!$M$5:$M$97,"logged")</f>
        <v/>
      </c>
      <c r="F8" s="22">
        <f>SUMIFS(Meals!$H$5:$H$97,Meals!$A$5:$A$97,$A8,Meals!$M$5:$M$97,"logged")</f>
        <v/>
      </c>
      <c r="G8" s="22">
        <f>AVERAGE(E8:F8)</f>
        <v/>
      </c>
      <c r="H8" s="22">
        <f>SUMIFS(Meals!$J$5:$J$97,Meals!$A$5:$A$97,$A8,Meals!$M$5:$M$97,"logged")</f>
        <v/>
      </c>
      <c r="I8" s="22">
        <f>SUMIFS(Meals!$K$5:$K$97,Meals!$A$5:$A$97,$A8,Meals!$M$5:$M$97,"logged")</f>
        <v/>
      </c>
      <c r="J8" s="22">
        <f>AVERAGE(H8:I8)</f>
        <v/>
      </c>
      <c r="K8" s="20">
        <f>COUNTIFS(Meals!$A$5:$A$97,$A8,Meals!$M$5:$M$97,"logged")</f>
        <v/>
      </c>
      <c r="L8" s="20">
        <f>COUNTIFS(Meals!$A$5:$A$97,$A8,Meals!$M$5:$M$97,"pending")</f>
        <v/>
      </c>
      <c r="M8" s="23">
        <f>D8-Targets!$B$16</f>
        <v/>
      </c>
    </row>
    <row r="9">
      <c r="A9" s="18" t="n">
        <v>46273</v>
      </c>
      <c r="B9" s="8">
        <f>SUMIFS(Meals!$D$5:$D$97,Meals!$A$5:$A$97,$A9,Meals!$M$5:$M$97,"logged")</f>
        <v/>
      </c>
      <c r="C9" s="8">
        <f>SUMIFS(Meals!$E$5:$E$97,Meals!$A$5:$A$97,$A9,Meals!$M$5:$M$97,"logged")</f>
        <v/>
      </c>
      <c r="D9" s="8">
        <f>AVERAGE(B9:C9)</f>
        <v/>
      </c>
      <c r="E9" s="10">
        <f>SUMIFS(Meals!$G$5:$G$97,Meals!$A$5:$A$97,$A9,Meals!$M$5:$M$97,"logged")</f>
        <v/>
      </c>
      <c r="F9" s="10">
        <f>SUMIFS(Meals!$H$5:$H$97,Meals!$A$5:$A$97,$A9,Meals!$M$5:$M$97,"logged")</f>
        <v/>
      </c>
      <c r="G9" s="10">
        <f>AVERAGE(E9:F9)</f>
        <v/>
      </c>
      <c r="H9" s="10">
        <f>SUMIFS(Meals!$J$5:$J$97,Meals!$A$5:$A$97,$A9,Meals!$M$5:$M$97,"logged")</f>
        <v/>
      </c>
      <c r="I9" s="10">
        <f>SUMIFS(Meals!$K$5:$K$97,Meals!$A$5:$A$97,$A9,Meals!$M$5:$M$97,"logged")</f>
        <v/>
      </c>
      <c r="J9" s="10">
        <f>AVERAGE(H9:I9)</f>
        <v/>
      </c>
      <c r="K9" s="18">
        <f>COUNTIFS(Meals!$A$5:$A$97,$A9,Meals!$M$5:$M$97,"logged")</f>
        <v/>
      </c>
      <c r="L9" s="18">
        <f>COUNTIFS(Meals!$A$5:$A$97,$A9,Meals!$M$5:$M$97,"pending")</f>
        <v/>
      </c>
      <c r="M9" s="19">
        <f>D9-Targets!$B$16</f>
        <v/>
      </c>
    </row>
    <row r="10">
      <c r="A10" s="20" t="n">
        <v>46274</v>
      </c>
      <c r="B10" s="21">
        <f>SUMIFS(Meals!$D$5:$D$97,Meals!$A$5:$A$97,$A10,Meals!$M$5:$M$97,"logged")</f>
        <v/>
      </c>
      <c r="C10" s="21">
        <f>SUMIFS(Meals!$E$5:$E$97,Meals!$A$5:$A$97,$A10,Meals!$M$5:$M$97,"logged")</f>
        <v/>
      </c>
      <c r="D10" s="21">
        <f>AVERAGE(B10:C10)</f>
        <v/>
      </c>
      <c r="E10" s="22">
        <f>SUMIFS(Meals!$G$5:$G$97,Meals!$A$5:$A$97,$A10,Meals!$M$5:$M$97,"logged")</f>
        <v/>
      </c>
      <c r="F10" s="22">
        <f>SUMIFS(Meals!$H$5:$H$97,Meals!$A$5:$A$97,$A10,Meals!$M$5:$M$97,"logged")</f>
        <v/>
      </c>
      <c r="G10" s="22">
        <f>AVERAGE(E10:F10)</f>
        <v/>
      </c>
      <c r="H10" s="22">
        <f>SUMIFS(Meals!$J$5:$J$97,Meals!$A$5:$A$97,$A10,Meals!$M$5:$M$97,"logged")</f>
        <v/>
      </c>
      <c r="I10" s="22">
        <f>SUMIFS(Meals!$K$5:$K$97,Meals!$A$5:$A$97,$A10,Meals!$M$5:$M$97,"logged")</f>
        <v/>
      </c>
      <c r="J10" s="22">
        <f>AVERAGE(H10:I10)</f>
        <v/>
      </c>
      <c r="K10" s="20">
        <f>COUNTIFS(Meals!$A$5:$A$97,$A10,Meals!$M$5:$M$97,"logged")</f>
        <v/>
      </c>
      <c r="L10" s="20">
        <f>COUNTIFS(Meals!$A$5:$A$97,$A10,Meals!$M$5:$M$97,"pending")</f>
        <v/>
      </c>
      <c r="M10" s="23">
        <f>D10-Targets!$B$16</f>
        <v/>
      </c>
    </row>
    <row r="11">
      <c r="A11" s="18" t="n">
        <v>46275</v>
      </c>
      <c r="B11" s="8">
        <f>SUMIFS(Meals!$D$5:$D$97,Meals!$A$5:$A$97,$A11,Meals!$M$5:$M$97,"logged")</f>
        <v/>
      </c>
      <c r="C11" s="8">
        <f>SUMIFS(Meals!$E$5:$E$97,Meals!$A$5:$A$97,$A11,Meals!$M$5:$M$97,"logged")</f>
        <v/>
      </c>
      <c r="D11" s="8">
        <f>AVERAGE(B11:C11)</f>
        <v/>
      </c>
      <c r="E11" s="10">
        <f>SUMIFS(Meals!$G$5:$G$97,Meals!$A$5:$A$97,$A11,Meals!$M$5:$M$97,"logged")</f>
        <v/>
      </c>
      <c r="F11" s="10">
        <f>SUMIFS(Meals!$H$5:$H$97,Meals!$A$5:$A$97,$A11,Meals!$M$5:$M$97,"logged")</f>
        <v/>
      </c>
      <c r="G11" s="10">
        <f>AVERAGE(E11:F11)</f>
        <v/>
      </c>
      <c r="H11" s="10">
        <f>SUMIFS(Meals!$J$5:$J$97,Meals!$A$5:$A$97,$A11,Meals!$M$5:$M$97,"logged")</f>
        <v/>
      </c>
      <c r="I11" s="10">
        <f>SUMIFS(Meals!$K$5:$K$97,Meals!$A$5:$A$97,$A11,Meals!$M$5:$M$97,"logged")</f>
        <v/>
      </c>
      <c r="J11" s="10">
        <f>AVERAGE(H11:I11)</f>
        <v/>
      </c>
      <c r="K11" s="18">
        <f>COUNTIFS(Meals!$A$5:$A$97,$A11,Meals!$M$5:$M$97,"logged")</f>
        <v/>
      </c>
      <c r="L11" s="18">
        <f>COUNTIFS(Meals!$A$5:$A$97,$A11,Meals!$M$5:$M$97,"pending")</f>
        <v/>
      </c>
      <c r="M11" s="19">
        <f>D11-Targets!$B$16</f>
        <v/>
      </c>
    </row>
    <row r="12">
      <c r="A12" s="20" t="n">
        <v>46276</v>
      </c>
      <c r="B12" s="21">
        <f>SUMIFS(Meals!$D$5:$D$97,Meals!$A$5:$A$97,$A12,Meals!$M$5:$M$97,"logged")</f>
        <v/>
      </c>
      <c r="C12" s="21">
        <f>SUMIFS(Meals!$E$5:$E$97,Meals!$A$5:$A$97,$A12,Meals!$M$5:$M$97,"logged")</f>
        <v/>
      </c>
      <c r="D12" s="21">
        <f>AVERAGE(B12:C12)</f>
        <v/>
      </c>
      <c r="E12" s="22">
        <f>SUMIFS(Meals!$G$5:$G$97,Meals!$A$5:$A$97,$A12,Meals!$M$5:$M$97,"logged")</f>
        <v/>
      </c>
      <c r="F12" s="22">
        <f>SUMIFS(Meals!$H$5:$H$97,Meals!$A$5:$A$97,$A12,Meals!$M$5:$M$97,"logged")</f>
        <v/>
      </c>
      <c r="G12" s="22">
        <f>AVERAGE(E12:F12)</f>
        <v/>
      </c>
      <c r="H12" s="22">
        <f>SUMIFS(Meals!$J$5:$J$97,Meals!$A$5:$A$97,$A12,Meals!$M$5:$M$97,"logged")</f>
        <v/>
      </c>
      <c r="I12" s="22">
        <f>SUMIFS(Meals!$K$5:$K$97,Meals!$A$5:$A$97,$A12,Meals!$M$5:$M$97,"logged")</f>
        <v/>
      </c>
      <c r="J12" s="22">
        <f>AVERAGE(H12:I12)</f>
        <v/>
      </c>
      <c r="K12" s="20">
        <f>COUNTIFS(Meals!$A$5:$A$97,$A12,Meals!$M$5:$M$97,"logged")</f>
        <v/>
      </c>
      <c r="L12" s="20">
        <f>COUNTIFS(Meals!$A$5:$A$97,$A12,Meals!$M$5:$M$97,"pending")</f>
        <v/>
      </c>
      <c r="M12" s="23">
        <f>D12-Targets!$B$16</f>
        <v/>
      </c>
    </row>
    <row r="13">
      <c r="A13" s="18" t="n">
        <v>46277</v>
      </c>
      <c r="B13" s="8">
        <f>SUMIFS(Meals!$D$5:$D$97,Meals!$A$5:$A$97,$A13,Meals!$M$5:$M$97,"logged")</f>
        <v/>
      </c>
      <c r="C13" s="8">
        <f>SUMIFS(Meals!$E$5:$E$97,Meals!$A$5:$A$97,$A13,Meals!$M$5:$M$97,"logged")</f>
        <v/>
      </c>
      <c r="D13" s="8">
        <f>AVERAGE(B13:C13)</f>
        <v/>
      </c>
      <c r="E13" s="10">
        <f>SUMIFS(Meals!$G$5:$G$97,Meals!$A$5:$A$97,$A13,Meals!$M$5:$M$97,"logged")</f>
        <v/>
      </c>
      <c r="F13" s="10">
        <f>SUMIFS(Meals!$H$5:$H$97,Meals!$A$5:$A$97,$A13,Meals!$M$5:$M$97,"logged")</f>
        <v/>
      </c>
      <c r="G13" s="10">
        <f>AVERAGE(E13:F13)</f>
        <v/>
      </c>
      <c r="H13" s="10">
        <f>SUMIFS(Meals!$J$5:$J$97,Meals!$A$5:$A$97,$A13,Meals!$M$5:$M$97,"logged")</f>
        <v/>
      </c>
      <c r="I13" s="10">
        <f>SUMIFS(Meals!$K$5:$K$97,Meals!$A$5:$A$97,$A13,Meals!$M$5:$M$97,"logged")</f>
        <v/>
      </c>
      <c r="J13" s="10">
        <f>AVERAGE(H13:I13)</f>
        <v/>
      </c>
      <c r="K13" s="18">
        <f>COUNTIFS(Meals!$A$5:$A$97,$A13,Meals!$M$5:$M$97,"logged")</f>
        <v/>
      </c>
      <c r="L13" s="18">
        <f>COUNTIFS(Meals!$A$5:$A$97,$A13,Meals!$M$5:$M$97,"pending")</f>
        <v/>
      </c>
      <c r="M13" s="19">
        <f>D13-Targets!$B$16</f>
        <v/>
      </c>
    </row>
    <row r="14">
      <c r="A14" s="20" t="n">
        <v>46278</v>
      </c>
      <c r="B14" s="21">
        <f>SUMIFS(Meals!$D$5:$D$97,Meals!$A$5:$A$97,$A14,Meals!$M$5:$M$97,"logged")</f>
        <v/>
      </c>
      <c r="C14" s="21">
        <f>SUMIFS(Meals!$E$5:$E$97,Meals!$A$5:$A$97,$A14,Meals!$M$5:$M$97,"logged")</f>
        <v/>
      </c>
      <c r="D14" s="21">
        <f>AVERAGE(B14:C14)</f>
        <v/>
      </c>
      <c r="E14" s="22">
        <f>SUMIFS(Meals!$G$5:$G$97,Meals!$A$5:$A$97,$A14,Meals!$M$5:$M$97,"logged")</f>
        <v/>
      </c>
      <c r="F14" s="22">
        <f>SUMIFS(Meals!$H$5:$H$97,Meals!$A$5:$A$97,$A14,Meals!$M$5:$M$97,"logged")</f>
        <v/>
      </c>
      <c r="G14" s="22">
        <f>AVERAGE(E14:F14)</f>
        <v/>
      </c>
      <c r="H14" s="22">
        <f>SUMIFS(Meals!$J$5:$J$97,Meals!$A$5:$A$97,$A14,Meals!$M$5:$M$97,"logged")</f>
        <v/>
      </c>
      <c r="I14" s="22">
        <f>SUMIFS(Meals!$K$5:$K$97,Meals!$A$5:$A$97,$A14,Meals!$M$5:$M$97,"logged")</f>
        <v/>
      </c>
      <c r="J14" s="22">
        <f>AVERAGE(H14:I14)</f>
        <v/>
      </c>
      <c r="K14" s="20">
        <f>COUNTIFS(Meals!$A$5:$A$97,$A14,Meals!$M$5:$M$97,"logged")</f>
        <v/>
      </c>
      <c r="L14" s="20">
        <f>COUNTIFS(Meals!$A$5:$A$97,$A14,Meals!$M$5:$M$97,"pending")</f>
        <v/>
      </c>
      <c r="M14" s="23">
        <f>D14-Targets!$B$16</f>
        <v/>
      </c>
    </row>
    <row r="15">
      <c r="A15" s="18" t="n">
        <v>46279</v>
      </c>
      <c r="B15" s="8">
        <f>SUMIFS(Meals!$D$5:$D$97,Meals!$A$5:$A$97,$A15,Meals!$M$5:$M$97,"logged")</f>
        <v/>
      </c>
      <c r="C15" s="8">
        <f>SUMIFS(Meals!$E$5:$E$97,Meals!$A$5:$A$97,$A15,Meals!$M$5:$M$97,"logged")</f>
        <v/>
      </c>
      <c r="D15" s="8">
        <f>AVERAGE(B15:C15)</f>
        <v/>
      </c>
      <c r="E15" s="10">
        <f>SUMIFS(Meals!$G$5:$G$97,Meals!$A$5:$A$97,$A15,Meals!$M$5:$M$97,"logged")</f>
        <v/>
      </c>
      <c r="F15" s="10">
        <f>SUMIFS(Meals!$H$5:$H$97,Meals!$A$5:$A$97,$A15,Meals!$M$5:$M$97,"logged")</f>
        <v/>
      </c>
      <c r="G15" s="10">
        <f>AVERAGE(E15:F15)</f>
        <v/>
      </c>
      <c r="H15" s="10">
        <f>SUMIFS(Meals!$J$5:$J$97,Meals!$A$5:$A$97,$A15,Meals!$M$5:$M$97,"logged")</f>
        <v/>
      </c>
      <c r="I15" s="10">
        <f>SUMIFS(Meals!$K$5:$K$97,Meals!$A$5:$A$97,$A15,Meals!$M$5:$M$97,"logged")</f>
        <v/>
      </c>
      <c r="J15" s="10">
        <f>AVERAGE(H15:I15)</f>
        <v/>
      </c>
      <c r="K15" s="18">
        <f>COUNTIFS(Meals!$A$5:$A$97,$A15,Meals!$M$5:$M$97,"logged")</f>
        <v/>
      </c>
      <c r="L15" s="18">
        <f>COUNTIFS(Meals!$A$5:$A$97,$A15,Meals!$M$5:$M$97,"pending")</f>
        <v/>
      </c>
      <c r="M15" s="19">
        <f>D15-Targets!$B$16</f>
        <v/>
      </c>
    </row>
    <row r="16">
      <c r="A16" s="20" t="n">
        <v>46280</v>
      </c>
      <c r="B16" s="21">
        <f>SUMIFS(Meals!$D$5:$D$97,Meals!$A$5:$A$97,$A16,Meals!$M$5:$M$97,"logged")</f>
        <v/>
      </c>
      <c r="C16" s="21">
        <f>SUMIFS(Meals!$E$5:$E$97,Meals!$A$5:$A$97,$A16,Meals!$M$5:$M$97,"logged")</f>
        <v/>
      </c>
      <c r="D16" s="21">
        <f>AVERAGE(B16:C16)</f>
        <v/>
      </c>
      <c r="E16" s="22">
        <f>SUMIFS(Meals!$G$5:$G$97,Meals!$A$5:$A$97,$A16,Meals!$M$5:$M$97,"logged")</f>
        <v/>
      </c>
      <c r="F16" s="22">
        <f>SUMIFS(Meals!$H$5:$H$97,Meals!$A$5:$A$97,$A16,Meals!$M$5:$M$97,"logged")</f>
        <v/>
      </c>
      <c r="G16" s="22">
        <f>AVERAGE(E16:F16)</f>
        <v/>
      </c>
      <c r="H16" s="22">
        <f>SUMIFS(Meals!$J$5:$J$97,Meals!$A$5:$A$97,$A16,Meals!$M$5:$M$97,"logged")</f>
        <v/>
      </c>
      <c r="I16" s="22">
        <f>SUMIFS(Meals!$K$5:$K$97,Meals!$A$5:$A$97,$A16,Meals!$M$5:$M$97,"logged")</f>
        <v/>
      </c>
      <c r="J16" s="22">
        <f>AVERAGE(H16:I16)</f>
        <v/>
      </c>
      <c r="K16" s="20">
        <f>COUNTIFS(Meals!$A$5:$A$97,$A16,Meals!$M$5:$M$97,"logged")</f>
        <v/>
      </c>
      <c r="L16" s="20">
        <f>COUNTIFS(Meals!$A$5:$A$97,$A16,Meals!$M$5:$M$97,"pending")</f>
        <v/>
      </c>
      <c r="M16" s="23">
        <f>D16-Targets!$B$16</f>
        <v/>
      </c>
    </row>
    <row r="17">
      <c r="A17" s="18" t="n">
        <v>46281</v>
      </c>
      <c r="B17" s="8">
        <f>SUMIFS(Meals!$D$5:$D$97,Meals!$A$5:$A$97,$A17,Meals!$M$5:$M$97,"logged")</f>
        <v/>
      </c>
      <c r="C17" s="8">
        <f>SUMIFS(Meals!$E$5:$E$97,Meals!$A$5:$A$97,$A17,Meals!$M$5:$M$97,"logged")</f>
        <v/>
      </c>
      <c r="D17" s="8">
        <f>AVERAGE(B17:C17)</f>
        <v/>
      </c>
      <c r="E17" s="10">
        <f>SUMIFS(Meals!$G$5:$G$97,Meals!$A$5:$A$97,$A17,Meals!$M$5:$M$97,"logged")</f>
        <v/>
      </c>
      <c r="F17" s="10">
        <f>SUMIFS(Meals!$H$5:$H$97,Meals!$A$5:$A$97,$A17,Meals!$M$5:$M$97,"logged")</f>
        <v/>
      </c>
      <c r="G17" s="10">
        <f>AVERAGE(E17:F17)</f>
        <v/>
      </c>
      <c r="H17" s="10">
        <f>SUMIFS(Meals!$J$5:$J$97,Meals!$A$5:$A$97,$A17,Meals!$M$5:$M$97,"logged")</f>
        <v/>
      </c>
      <c r="I17" s="10">
        <f>SUMIFS(Meals!$K$5:$K$97,Meals!$A$5:$A$97,$A17,Meals!$M$5:$M$97,"logged")</f>
        <v/>
      </c>
      <c r="J17" s="10">
        <f>AVERAGE(H17:I17)</f>
        <v/>
      </c>
      <c r="K17" s="18">
        <f>COUNTIFS(Meals!$A$5:$A$97,$A17,Meals!$M$5:$M$97,"logged")</f>
        <v/>
      </c>
      <c r="L17" s="18">
        <f>COUNTIFS(Meals!$A$5:$A$97,$A17,Meals!$M$5:$M$97,"pending")</f>
        <v/>
      </c>
      <c r="M17" s="19">
        <f>D17-Targets!$B$16</f>
        <v/>
      </c>
    </row>
    <row r="18">
      <c r="A18" s="20" t="n">
        <v>46282</v>
      </c>
      <c r="B18" s="21">
        <f>SUMIFS(Meals!$D$5:$D$97,Meals!$A$5:$A$97,$A18,Meals!$M$5:$M$97,"logged")</f>
        <v/>
      </c>
      <c r="C18" s="21">
        <f>SUMIFS(Meals!$E$5:$E$97,Meals!$A$5:$A$97,$A18,Meals!$M$5:$M$97,"logged")</f>
        <v/>
      </c>
      <c r="D18" s="21">
        <f>AVERAGE(B18:C18)</f>
        <v/>
      </c>
      <c r="E18" s="22">
        <f>SUMIFS(Meals!$G$5:$G$97,Meals!$A$5:$A$97,$A18,Meals!$M$5:$M$97,"logged")</f>
        <v/>
      </c>
      <c r="F18" s="22">
        <f>SUMIFS(Meals!$H$5:$H$97,Meals!$A$5:$A$97,$A18,Meals!$M$5:$M$97,"logged")</f>
        <v/>
      </c>
      <c r="G18" s="22">
        <f>AVERAGE(E18:F18)</f>
        <v/>
      </c>
      <c r="H18" s="22">
        <f>SUMIFS(Meals!$J$5:$J$97,Meals!$A$5:$A$97,$A18,Meals!$M$5:$M$97,"logged")</f>
        <v/>
      </c>
      <c r="I18" s="22">
        <f>SUMIFS(Meals!$K$5:$K$97,Meals!$A$5:$A$97,$A18,Meals!$M$5:$M$97,"logged")</f>
        <v/>
      </c>
      <c r="J18" s="22">
        <f>AVERAGE(H18:I18)</f>
        <v/>
      </c>
      <c r="K18" s="20">
        <f>COUNTIFS(Meals!$A$5:$A$97,$A18,Meals!$M$5:$M$97,"logged")</f>
        <v/>
      </c>
      <c r="L18" s="20">
        <f>COUNTIFS(Meals!$A$5:$A$97,$A18,Meals!$M$5:$M$97,"pending")</f>
        <v/>
      </c>
      <c r="M18" s="23">
        <f>D18-Targets!$B$16</f>
        <v/>
      </c>
    </row>
    <row r="19">
      <c r="A19" s="18" t="n">
        <v>46283</v>
      </c>
      <c r="B19" s="8">
        <f>SUMIFS(Meals!$D$5:$D$97,Meals!$A$5:$A$97,$A19,Meals!$M$5:$M$97,"logged")</f>
        <v/>
      </c>
      <c r="C19" s="8">
        <f>SUMIFS(Meals!$E$5:$E$97,Meals!$A$5:$A$97,$A19,Meals!$M$5:$M$97,"logged")</f>
        <v/>
      </c>
      <c r="D19" s="8">
        <f>AVERAGE(B19:C19)</f>
        <v/>
      </c>
      <c r="E19" s="10">
        <f>SUMIFS(Meals!$G$5:$G$97,Meals!$A$5:$A$97,$A19,Meals!$M$5:$M$97,"logged")</f>
        <v/>
      </c>
      <c r="F19" s="10">
        <f>SUMIFS(Meals!$H$5:$H$97,Meals!$A$5:$A$97,$A19,Meals!$M$5:$M$97,"logged")</f>
        <v/>
      </c>
      <c r="G19" s="10">
        <f>AVERAGE(E19:F19)</f>
        <v/>
      </c>
      <c r="H19" s="10">
        <f>SUMIFS(Meals!$J$5:$J$97,Meals!$A$5:$A$97,$A19,Meals!$M$5:$M$97,"logged")</f>
        <v/>
      </c>
      <c r="I19" s="10">
        <f>SUMIFS(Meals!$K$5:$K$97,Meals!$A$5:$A$97,$A19,Meals!$M$5:$M$97,"logged")</f>
        <v/>
      </c>
      <c r="J19" s="10">
        <f>AVERAGE(H19:I19)</f>
        <v/>
      </c>
      <c r="K19" s="18">
        <f>COUNTIFS(Meals!$A$5:$A$97,$A19,Meals!$M$5:$M$97,"logged")</f>
        <v/>
      </c>
      <c r="L19" s="18">
        <f>COUNTIFS(Meals!$A$5:$A$97,$A19,Meals!$M$5:$M$97,"pending")</f>
        <v/>
      </c>
      <c r="M19" s="19">
        <f>D19-Targets!$B$16</f>
        <v/>
      </c>
    </row>
    <row r="20">
      <c r="A20" s="20" t="n">
        <v>46284</v>
      </c>
      <c r="B20" s="21">
        <f>SUMIFS(Meals!$D$5:$D$97,Meals!$A$5:$A$97,$A20,Meals!$M$5:$M$97,"logged")</f>
        <v/>
      </c>
      <c r="C20" s="21">
        <f>SUMIFS(Meals!$E$5:$E$97,Meals!$A$5:$A$97,$A20,Meals!$M$5:$M$97,"logged")</f>
        <v/>
      </c>
      <c r="D20" s="21">
        <f>AVERAGE(B20:C20)</f>
        <v/>
      </c>
      <c r="E20" s="22">
        <f>SUMIFS(Meals!$G$5:$G$97,Meals!$A$5:$A$97,$A20,Meals!$M$5:$M$97,"logged")</f>
        <v/>
      </c>
      <c r="F20" s="22">
        <f>SUMIFS(Meals!$H$5:$H$97,Meals!$A$5:$A$97,$A20,Meals!$M$5:$M$97,"logged")</f>
        <v/>
      </c>
      <c r="G20" s="22">
        <f>AVERAGE(E20:F20)</f>
        <v/>
      </c>
      <c r="H20" s="22">
        <f>SUMIFS(Meals!$J$5:$J$97,Meals!$A$5:$A$97,$A20,Meals!$M$5:$M$97,"logged")</f>
        <v/>
      </c>
      <c r="I20" s="22">
        <f>SUMIFS(Meals!$K$5:$K$97,Meals!$A$5:$A$97,$A20,Meals!$M$5:$M$97,"logged")</f>
        <v/>
      </c>
      <c r="J20" s="22">
        <f>AVERAGE(H20:I20)</f>
        <v/>
      </c>
      <c r="K20" s="20">
        <f>COUNTIFS(Meals!$A$5:$A$97,$A20,Meals!$M$5:$M$97,"logged")</f>
        <v/>
      </c>
      <c r="L20" s="20">
        <f>COUNTIFS(Meals!$A$5:$A$97,$A20,Meals!$M$5:$M$97,"pending")</f>
        <v/>
      </c>
      <c r="M20" s="23">
        <f>D20-Targets!$B$16</f>
        <v/>
      </c>
    </row>
    <row r="21">
      <c r="A21" s="18" t="n">
        <v>46285</v>
      </c>
      <c r="B21" s="8">
        <f>SUMIFS(Meals!$D$5:$D$97,Meals!$A$5:$A$97,$A21,Meals!$M$5:$M$97,"logged")</f>
        <v/>
      </c>
      <c r="C21" s="8">
        <f>SUMIFS(Meals!$E$5:$E$97,Meals!$A$5:$A$97,$A21,Meals!$M$5:$M$97,"logged")</f>
        <v/>
      </c>
      <c r="D21" s="8">
        <f>AVERAGE(B21:C21)</f>
        <v/>
      </c>
      <c r="E21" s="10">
        <f>SUMIFS(Meals!$G$5:$G$97,Meals!$A$5:$A$97,$A21,Meals!$M$5:$M$97,"logged")</f>
        <v/>
      </c>
      <c r="F21" s="10">
        <f>SUMIFS(Meals!$H$5:$H$97,Meals!$A$5:$A$97,$A21,Meals!$M$5:$M$97,"logged")</f>
        <v/>
      </c>
      <c r="G21" s="10">
        <f>AVERAGE(E21:F21)</f>
        <v/>
      </c>
      <c r="H21" s="10">
        <f>SUMIFS(Meals!$J$5:$J$97,Meals!$A$5:$A$97,$A21,Meals!$M$5:$M$97,"logged")</f>
        <v/>
      </c>
      <c r="I21" s="10">
        <f>SUMIFS(Meals!$K$5:$K$97,Meals!$A$5:$A$97,$A21,Meals!$M$5:$M$97,"logged")</f>
        <v/>
      </c>
      <c r="J21" s="10">
        <f>AVERAGE(H21:I21)</f>
        <v/>
      </c>
      <c r="K21" s="18">
        <f>COUNTIFS(Meals!$A$5:$A$97,$A21,Meals!$M$5:$M$97,"logged")</f>
        <v/>
      </c>
      <c r="L21" s="18">
        <f>COUNTIFS(Meals!$A$5:$A$97,$A21,Meals!$M$5:$M$97,"pending")</f>
        <v/>
      </c>
      <c r="M21" s="19">
        <f>D21-Targets!$B$16</f>
        <v/>
      </c>
    </row>
    <row r="22">
      <c r="A22" s="20" t="n">
        <v>46286</v>
      </c>
      <c r="B22" s="21">
        <f>SUMIFS(Meals!$D$5:$D$97,Meals!$A$5:$A$97,$A22,Meals!$M$5:$M$97,"logged")</f>
        <v/>
      </c>
      <c r="C22" s="21">
        <f>SUMIFS(Meals!$E$5:$E$97,Meals!$A$5:$A$97,$A22,Meals!$M$5:$M$97,"logged")</f>
        <v/>
      </c>
      <c r="D22" s="21">
        <f>AVERAGE(B22:C22)</f>
        <v/>
      </c>
      <c r="E22" s="22">
        <f>SUMIFS(Meals!$G$5:$G$97,Meals!$A$5:$A$97,$A22,Meals!$M$5:$M$97,"logged")</f>
        <v/>
      </c>
      <c r="F22" s="22">
        <f>SUMIFS(Meals!$H$5:$H$97,Meals!$A$5:$A$97,$A22,Meals!$M$5:$M$97,"logged")</f>
        <v/>
      </c>
      <c r="G22" s="22">
        <f>AVERAGE(E22:F22)</f>
        <v/>
      </c>
      <c r="H22" s="22">
        <f>SUMIFS(Meals!$J$5:$J$97,Meals!$A$5:$A$97,$A22,Meals!$M$5:$M$97,"logged")</f>
        <v/>
      </c>
      <c r="I22" s="22">
        <f>SUMIFS(Meals!$K$5:$K$97,Meals!$A$5:$A$97,$A22,Meals!$M$5:$M$97,"logged")</f>
        <v/>
      </c>
      <c r="J22" s="22">
        <f>AVERAGE(H22:I22)</f>
        <v/>
      </c>
      <c r="K22" s="20">
        <f>COUNTIFS(Meals!$A$5:$A$97,$A22,Meals!$M$5:$M$97,"logged")</f>
        <v/>
      </c>
      <c r="L22" s="20">
        <f>COUNTIFS(Meals!$A$5:$A$97,$A22,Meals!$M$5:$M$97,"pending")</f>
        <v/>
      </c>
      <c r="M22" s="23">
        <f>D22-Targets!$B$16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COUNT(Daily!$A$5:$A$22)</f>
        <v/>
      </c>
    </row>
    <row r="6">
      <c r="A6" s="29" t="inlineStr">
        <is>
          <t>Avg calories/day (mid)</t>
        </is>
      </c>
      <c r="B6" s="8">
        <f>IFERROR(AVERAGE(Daily!$D$5:$D$22),0)</f>
        <v/>
      </c>
    </row>
    <row r="7">
      <c r="A7" s="29" t="inlineStr">
        <is>
          <t>Avg protein/day (mid, g)</t>
        </is>
      </c>
      <c r="B7" s="10">
        <f>IFERROR(AVERAGE(Daily!$G$5:$G$22),0)</f>
        <v/>
      </c>
    </row>
    <row r="8">
      <c r="A8" s="29" t="inlineStr">
        <is>
          <t>Avg fat/day (mid, g)</t>
        </is>
      </c>
      <c r="B8" s="10">
        <f>IFERROR(AVERAGE(Daily!$J$5:$J$22),0)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COUNTIFS(Daily!$G$5:$G$22,"&gt;="&amp;Targets!$B$20)</f>
        <v/>
      </c>
    </row>
    <row r="13">
      <c r="A13" s="29" t="inlineStr">
        <is>
          <t>Total pending (unconfirmed) items</t>
        </is>
      </c>
      <c r="B13" s="18">
        <f>SUM(Daily!$L$5:$L$22)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COUNTIFS(Daily!$A$5:$A$22,"&gt;="&amp;$A17,Daily!$A$5:$A$22,"&lt;="&amp;$B17)</f>
        <v/>
      </c>
      <c r="D17" s="8">
        <f>IFERROR(AVERAGEIFS(Daily!$D$5:$D$22,Daily!$A$5:$A$22,"&gt;="&amp;$A17,Daily!$A$5:$A$22,"&lt;="&amp;$B17),0)</f>
        <v/>
      </c>
      <c r="E17" s="10">
        <f>IFERROR(AVERAGEIFS(Daily!$G$5:$G$22,Daily!$A$5:$A$22,"&gt;="&amp;$A17,Daily!$A$5:$A$22,"&lt;="&amp;$B17),0)</f>
        <v/>
      </c>
      <c r="F17" s="10">
        <f>IFERROR(AVERAGEIFS(Daily!$J$5:$J$22,Daily!$A$5:$A$22,"&gt;="&amp;$A17,Daily!$A$5:$A$22,"&lt;="&amp;$B17),0)</f>
        <v/>
      </c>
    </row>
    <row r="18">
      <c r="A18" s="4" t="n">
        <v>46272</v>
      </c>
      <c r="B18" s="4" t="n">
        <v>46278</v>
      </c>
      <c r="C18" s="18">
        <f>COUNTIFS(Daily!$A$5:$A$22,"&gt;="&amp;$A18,Daily!$A$5:$A$22,"&lt;="&amp;$B18)</f>
        <v/>
      </c>
      <c r="D18" s="8">
        <f>IFERROR(AVERAGEIFS(Daily!$D$5:$D$22,Daily!$A$5:$A$22,"&gt;="&amp;$A18,Daily!$A$5:$A$22,"&lt;="&amp;$B18),0)</f>
        <v/>
      </c>
      <c r="E18" s="10">
        <f>IFERROR(AVERAGEIFS(Daily!$G$5:$G$22,Daily!$A$5:$A$22,"&gt;="&amp;$A18,Daily!$A$5:$A$22,"&lt;="&amp;$B18),0)</f>
        <v/>
      </c>
      <c r="F18" s="10">
        <f>IFERROR(AVERAGEIFS(Daily!$J$5:$J$22,Daily!$A$5:$A$22,"&gt;="&amp;$A18,Daily!$A$5:$A$22,"&lt;="&amp;$B18),0)</f>
        <v/>
      </c>
    </row>
    <row r="19">
      <c r="A19" s="4" t="n">
        <v>46279</v>
      </c>
      <c r="B19" s="4" t="n">
        <v>46285</v>
      </c>
      <c r="C19" s="18">
        <f>COUNTIFS(Daily!$A$5:$A$22,"&gt;="&amp;$A19,Daily!$A$5:$A$22,"&lt;="&amp;$B19)</f>
        <v/>
      </c>
      <c r="D19" s="8">
        <f>IFERROR(AVERAGEIFS(Daily!$D$5:$D$22,Daily!$A$5:$A$22,"&gt;="&amp;$A19,Daily!$A$5:$A$22,"&lt;="&amp;$B19),0)</f>
        <v/>
      </c>
      <c r="E19" s="10">
        <f>IFERROR(AVERAGEIFS(Daily!$G$5:$G$22,Daily!$A$5:$A$22,"&gt;="&amp;$A19,Daily!$A$5:$A$22,"&lt;="&amp;$B19),0)</f>
        <v/>
      </c>
      <c r="F19" s="10">
        <f>IFERROR(AVERAGEIFS(Daily!$J$5:$J$22,Daily!$A$5:$A$22,"&gt;="&amp;$A19,Daily!$A$5:$A$22,"&lt;="&amp;$B19),0)</f>
        <v/>
      </c>
    </row>
    <row r="20">
      <c r="A20" s="4" t="n">
        <v>46286</v>
      </c>
      <c r="B20" s="4" t="n">
        <v>46292</v>
      </c>
      <c r="C20" s="18">
        <f>COUNTIFS(Daily!$A$5:$A$22,"&gt;="&amp;$A20,Daily!$A$5:$A$22,"&lt;="&amp;$B20)</f>
        <v/>
      </c>
      <c r="D20" s="8">
        <f>IFERROR(AVERAGEIFS(Daily!$D$5:$D$22,Daily!$A$5:$A$22,"&gt;="&amp;$A20,Daily!$A$5:$A$22,"&lt;="&amp;$B20),0)</f>
        <v/>
      </c>
      <c r="E20" s="10">
        <f>IFERROR(AVERAGEIFS(Daily!$G$5:$G$22,Daily!$A$5:$A$22,"&gt;="&amp;$A20,Daily!$A$5:$A$22,"&lt;="&amp;$B20),0)</f>
        <v/>
      </c>
      <c r="F20" s="10">
        <f>IFERROR(AVERAGEIFS(Daily!$J$5:$J$22,Daily!$A$5:$A$22,"&gt;="&amp;$A20,Daily!$A$5:$A$22,"&lt;="&amp;$B20),0)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COUNTIFS(Daily!$A$5:$A$22,"&gt;="&amp;$A24,Daily!$A$5:$A$22,"&lt;="&amp;$B24)</f>
        <v/>
      </c>
      <c r="D24" s="8">
        <f>IFERROR(AVERAGEIFS(Daily!$D$5:$D$22,Daily!$A$5:$A$22,"&gt;="&amp;$A24,Daily!$A$5:$A$22,"&lt;="&amp;$B24),0)</f>
        <v/>
      </c>
      <c r="E24" s="10">
        <f>IFERROR(AVERAGEIFS(Daily!$G$5:$G$22,Daily!$A$5:$A$22,"&gt;="&amp;$A24,Daily!$A$5:$A$22,"&lt;="&amp;$B24),0)</f>
        <v/>
      </c>
      <c r="F24" s="10">
        <f>IFERROR(AVERAGEIFS(Daily!$J$5:$J$22,Daily!$A$5:$A$22,"&gt;="&amp;$A24,Daily!$A$5:$A$22,"&lt;="&amp;$B24),0)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2026-09-21T16:51:19Z</dcterms:created>
  <dcterms:modified xsi:type="dcterms:W3CDTF">2026-09-21T16:51:19Z</dcterms:modified>
</cp:coreProperties>
</file>