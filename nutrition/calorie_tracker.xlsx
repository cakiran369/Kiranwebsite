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SUMIFS(Meals!$D$5:$D$34,Meals!$A$5:$A$34,$A5,Meals!$M$5:$M$34,"logged")</f>
        <v/>
      </c>
      <c r="C5" s="8">
        <f>SUMIFS(Meals!$E$5:$E$34,Meals!$A$5:$A$34,$A5,Meals!$M$5:$M$34,"logged")</f>
        <v/>
      </c>
      <c r="D5" s="8">
        <f>AVERAGE(B5:C5)</f>
        <v/>
      </c>
      <c r="E5" s="10">
        <f>SUMIFS(Meals!$G$5:$G$34,Meals!$A$5:$A$34,$A5,Meals!$M$5:$M$34,"logged")</f>
        <v/>
      </c>
      <c r="F5" s="10">
        <f>SUMIFS(Meals!$H$5:$H$34,Meals!$A$5:$A$34,$A5,Meals!$M$5:$M$34,"logged")</f>
        <v/>
      </c>
      <c r="G5" s="10">
        <f>AVERAGE(E5:F5)</f>
        <v/>
      </c>
      <c r="H5" s="10">
        <f>SUMIFS(Meals!$J$5:$J$34,Meals!$A$5:$A$34,$A5,Meals!$M$5:$M$34,"logged")</f>
        <v/>
      </c>
      <c r="I5" s="10">
        <f>SUMIFS(Meals!$K$5:$K$34,Meals!$A$5:$A$34,$A5,Meals!$M$5:$M$34,"logged")</f>
        <v/>
      </c>
      <c r="J5" s="10">
        <f>AVERAGE(H5:I5)</f>
        <v/>
      </c>
      <c r="K5" s="18">
        <f>COUNTIFS(Meals!$A$5:$A$34,$A5,Meals!$M$5:$M$34,"logged")</f>
        <v/>
      </c>
      <c r="L5" s="18">
        <f>COUNTIFS(Meals!$A$5:$A$34,$A5,Meals!$M$5:$M$34,"pending")</f>
        <v/>
      </c>
      <c r="M5" s="19">
        <f>D5-Targets!$B$16</f>
        <v/>
      </c>
    </row>
    <row r="6">
      <c r="A6" s="20" t="n">
        <v>46270</v>
      </c>
      <c r="B6" s="21">
        <f>SUMIFS(Meals!$D$5:$D$34,Meals!$A$5:$A$34,$A6,Meals!$M$5:$M$34,"logged")</f>
        <v/>
      </c>
      <c r="C6" s="21">
        <f>SUMIFS(Meals!$E$5:$E$34,Meals!$A$5:$A$34,$A6,Meals!$M$5:$M$34,"logged")</f>
        <v/>
      </c>
      <c r="D6" s="21">
        <f>AVERAGE(B6:C6)</f>
        <v/>
      </c>
      <c r="E6" s="22">
        <f>SUMIFS(Meals!$G$5:$G$34,Meals!$A$5:$A$34,$A6,Meals!$M$5:$M$34,"logged")</f>
        <v/>
      </c>
      <c r="F6" s="22">
        <f>SUMIFS(Meals!$H$5:$H$34,Meals!$A$5:$A$34,$A6,Meals!$M$5:$M$34,"logged")</f>
        <v/>
      </c>
      <c r="G6" s="22">
        <f>AVERAGE(E6:F6)</f>
        <v/>
      </c>
      <c r="H6" s="22">
        <f>SUMIFS(Meals!$J$5:$J$34,Meals!$A$5:$A$34,$A6,Meals!$M$5:$M$34,"logged")</f>
        <v/>
      </c>
      <c r="I6" s="22">
        <f>SUMIFS(Meals!$K$5:$K$34,Meals!$A$5:$A$34,$A6,Meals!$M$5:$M$34,"logged")</f>
        <v/>
      </c>
      <c r="J6" s="22">
        <f>AVERAGE(H6:I6)</f>
        <v/>
      </c>
      <c r="K6" s="20">
        <f>COUNTIFS(Meals!$A$5:$A$34,$A6,Meals!$M$5:$M$34,"logged")</f>
        <v/>
      </c>
      <c r="L6" s="20">
        <f>COUNTIFS(Meals!$A$5:$A$34,$A6,Meals!$M$5:$M$34,"pending")</f>
        <v/>
      </c>
      <c r="M6" s="23">
        <f>D6-Targets!$B$16</f>
        <v/>
      </c>
    </row>
    <row r="7">
      <c r="A7" s="18" t="n">
        <v>46271</v>
      </c>
      <c r="B7" s="8">
        <f>SUMIFS(Meals!$D$5:$D$34,Meals!$A$5:$A$34,$A7,Meals!$M$5:$M$34,"logged")</f>
        <v/>
      </c>
      <c r="C7" s="8">
        <f>SUMIFS(Meals!$E$5:$E$34,Meals!$A$5:$A$34,$A7,Meals!$M$5:$M$34,"logged")</f>
        <v/>
      </c>
      <c r="D7" s="8">
        <f>AVERAGE(B7:C7)</f>
        <v/>
      </c>
      <c r="E7" s="10">
        <f>SUMIFS(Meals!$G$5:$G$34,Meals!$A$5:$A$34,$A7,Meals!$M$5:$M$34,"logged")</f>
        <v/>
      </c>
      <c r="F7" s="10">
        <f>SUMIFS(Meals!$H$5:$H$34,Meals!$A$5:$A$34,$A7,Meals!$M$5:$M$34,"logged")</f>
        <v/>
      </c>
      <c r="G7" s="10">
        <f>AVERAGE(E7:F7)</f>
        <v/>
      </c>
      <c r="H7" s="10">
        <f>SUMIFS(Meals!$J$5:$J$34,Meals!$A$5:$A$34,$A7,Meals!$M$5:$M$34,"logged")</f>
        <v/>
      </c>
      <c r="I7" s="10">
        <f>SUMIFS(Meals!$K$5:$K$34,Meals!$A$5:$A$34,$A7,Meals!$M$5:$M$34,"logged")</f>
        <v/>
      </c>
      <c r="J7" s="10">
        <f>AVERAGE(H7:I7)</f>
        <v/>
      </c>
      <c r="K7" s="18">
        <f>COUNTIFS(Meals!$A$5:$A$34,$A7,Meals!$M$5:$M$34,"logged")</f>
        <v/>
      </c>
      <c r="L7" s="18">
        <f>COUNTIFS(Meals!$A$5:$A$34,$A7,Meals!$M$5:$M$34,"pending")</f>
        <v/>
      </c>
      <c r="M7" s="19">
        <f>D7-Targets!$B$16</f>
        <v/>
      </c>
    </row>
    <row r="8">
      <c r="A8" s="20" t="n">
        <v>46272</v>
      </c>
      <c r="B8" s="21">
        <f>SUMIFS(Meals!$D$5:$D$34,Meals!$A$5:$A$34,$A8,Meals!$M$5:$M$34,"logged")</f>
        <v/>
      </c>
      <c r="C8" s="21">
        <f>SUMIFS(Meals!$E$5:$E$34,Meals!$A$5:$A$34,$A8,Meals!$M$5:$M$34,"logged")</f>
        <v/>
      </c>
      <c r="D8" s="21">
        <f>AVERAGE(B8:C8)</f>
        <v/>
      </c>
      <c r="E8" s="22">
        <f>SUMIFS(Meals!$G$5:$G$34,Meals!$A$5:$A$34,$A8,Meals!$M$5:$M$34,"logged")</f>
        <v/>
      </c>
      <c r="F8" s="22">
        <f>SUMIFS(Meals!$H$5:$H$34,Meals!$A$5:$A$34,$A8,Meals!$M$5:$M$34,"logged")</f>
        <v/>
      </c>
      <c r="G8" s="22">
        <f>AVERAGE(E8:F8)</f>
        <v/>
      </c>
      <c r="H8" s="22">
        <f>SUMIFS(Meals!$J$5:$J$34,Meals!$A$5:$A$34,$A8,Meals!$M$5:$M$34,"logged")</f>
        <v/>
      </c>
      <c r="I8" s="22">
        <f>SUMIFS(Meals!$K$5:$K$34,Meals!$A$5:$A$34,$A8,Meals!$M$5:$M$34,"logged")</f>
        <v/>
      </c>
      <c r="J8" s="22">
        <f>AVERAGE(H8:I8)</f>
        <v/>
      </c>
      <c r="K8" s="20">
        <f>COUNTIFS(Meals!$A$5:$A$34,$A8,Meals!$M$5:$M$34,"logged")</f>
        <v/>
      </c>
      <c r="L8" s="20">
        <f>COUNTIFS(Meals!$A$5:$A$34,$A8,Meals!$M$5:$M$34,"pending")</f>
        <v/>
      </c>
      <c r="M8" s="23">
        <f>D8-Targets!$B$16</f>
        <v/>
      </c>
    </row>
    <row r="9">
      <c r="A9" s="18" t="n">
        <v>46273</v>
      </c>
      <c r="B9" s="8">
        <f>SUMIFS(Meals!$D$5:$D$34,Meals!$A$5:$A$34,$A9,Meals!$M$5:$M$34,"logged")</f>
        <v/>
      </c>
      <c r="C9" s="8">
        <f>SUMIFS(Meals!$E$5:$E$34,Meals!$A$5:$A$34,$A9,Meals!$M$5:$M$34,"logged")</f>
        <v/>
      </c>
      <c r="D9" s="8">
        <f>AVERAGE(B9:C9)</f>
        <v/>
      </c>
      <c r="E9" s="10">
        <f>SUMIFS(Meals!$G$5:$G$34,Meals!$A$5:$A$34,$A9,Meals!$M$5:$M$34,"logged")</f>
        <v/>
      </c>
      <c r="F9" s="10">
        <f>SUMIFS(Meals!$H$5:$H$34,Meals!$A$5:$A$34,$A9,Meals!$M$5:$M$34,"logged")</f>
        <v/>
      </c>
      <c r="G9" s="10">
        <f>AVERAGE(E9:F9)</f>
        <v/>
      </c>
      <c r="H9" s="10">
        <f>SUMIFS(Meals!$J$5:$J$34,Meals!$A$5:$A$34,$A9,Meals!$M$5:$M$34,"logged")</f>
        <v/>
      </c>
      <c r="I9" s="10">
        <f>SUMIFS(Meals!$K$5:$K$34,Meals!$A$5:$A$34,$A9,Meals!$M$5:$M$34,"logged")</f>
        <v/>
      </c>
      <c r="J9" s="10">
        <f>AVERAGE(H9:I9)</f>
        <v/>
      </c>
      <c r="K9" s="18">
        <f>COUNTIFS(Meals!$A$5:$A$34,$A9,Meals!$M$5:$M$34,"logged")</f>
        <v/>
      </c>
      <c r="L9" s="18">
        <f>COUNTIFS(Meals!$A$5:$A$34,$A9,Meals!$M$5:$M$34,"pending")</f>
        <v/>
      </c>
      <c r="M9" s="19">
        <f>D9-Targets!$B$16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COUNT(Daily!$A$5:$A$9)</f>
        <v/>
      </c>
    </row>
    <row r="6">
      <c r="A6" s="29" t="inlineStr">
        <is>
          <t>Avg calories/day (mid)</t>
        </is>
      </c>
      <c r="B6" s="8">
        <f>IFERROR(AVERAGE(Daily!$D$5:$D$9),0)</f>
        <v/>
      </c>
    </row>
    <row r="7">
      <c r="A7" s="29" t="inlineStr">
        <is>
          <t>Avg protein/day (mid, g)</t>
        </is>
      </c>
      <c r="B7" s="10">
        <f>IFERROR(AVERAGE(Daily!$G$5:$G$9),0)</f>
        <v/>
      </c>
    </row>
    <row r="8">
      <c r="A8" s="29" t="inlineStr">
        <is>
          <t>Avg fat/day (mid, g)</t>
        </is>
      </c>
      <c r="B8" s="10">
        <f>IFERROR(AVERAGE(Daily!$J$5:$J$9),0)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COUNTIFS(Daily!$G$5:$G$9,"&gt;="&amp;Targets!$B$20)</f>
        <v/>
      </c>
    </row>
    <row r="13">
      <c r="A13" s="29" t="inlineStr">
        <is>
          <t>Total pending (unconfirmed) items</t>
        </is>
      </c>
      <c r="B13" s="18">
        <f>SUM(Daily!$L$5:$L$9)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COUNTIFS(Daily!$A$5:$A$9,"&gt;="&amp;$A17,Daily!$A$5:$A$9,"&lt;="&amp;$B17)</f>
        <v/>
      </c>
      <c r="D17" s="8">
        <f>IFERROR(AVERAGEIFS(Daily!$D$5:$D$9,Daily!$A$5:$A$9,"&gt;="&amp;$A17,Daily!$A$5:$A$9,"&lt;="&amp;$B17),0)</f>
        <v/>
      </c>
      <c r="E17" s="10">
        <f>IFERROR(AVERAGEIFS(Daily!$G$5:$G$9,Daily!$A$5:$A$9,"&gt;="&amp;$A17,Daily!$A$5:$A$9,"&lt;="&amp;$B17),0)</f>
        <v/>
      </c>
      <c r="F17" s="10">
        <f>IFERROR(AVERAGEIFS(Daily!$J$5:$J$9,Daily!$A$5:$A$9,"&gt;="&amp;$A17,Daily!$A$5:$A$9,"&lt;="&amp;$B17),0)</f>
        <v/>
      </c>
    </row>
    <row r="18">
      <c r="A18" s="4" t="n">
        <v>46272</v>
      </c>
      <c r="B18" s="4" t="n">
        <v>46278</v>
      </c>
      <c r="C18" s="18">
        <f>COUNTIFS(Daily!$A$5:$A$9,"&gt;="&amp;$A18,Daily!$A$5:$A$9,"&lt;="&amp;$B18)</f>
        <v/>
      </c>
      <c r="D18" s="8">
        <f>IFERROR(AVERAGEIFS(Daily!$D$5:$D$9,Daily!$A$5:$A$9,"&gt;="&amp;$A18,Daily!$A$5:$A$9,"&lt;="&amp;$B18),0)</f>
        <v/>
      </c>
      <c r="E18" s="10">
        <f>IFERROR(AVERAGEIFS(Daily!$G$5:$G$9,Daily!$A$5:$A$9,"&gt;="&amp;$A18,Daily!$A$5:$A$9,"&lt;="&amp;$B18),0)</f>
        <v/>
      </c>
      <c r="F18" s="10">
        <f>IFERROR(AVERAGEIFS(Daily!$J$5:$J$9,Daily!$A$5:$A$9,"&gt;="&amp;$A18,Daily!$A$5:$A$9,"&lt;="&amp;$B18),0)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COUNTIFS(Daily!$A$5:$A$9,"&gt;="&amp;$A22,Daily!$A$5:$A$9,"&lt;="&amp;$B22)</f>
        <v/>
      </c>
      <c r="D22" s="8">
        <f>IFERROR(AVERAGEIFS(Daily!$D$5:$D$9,Daily!$A$5:$A$9,"&gt;="&amp;$A22,Daily!$A$5:$A$9,"&lt;="&amp;$B22),0)</f>
        <v/>
      </c>
      <c r="E22" s="10">
        <f>IFERROR(AVERAGEIFS(Daily!$G$5:$G$9,Daily!$A$5:$A$9,"&gt;="&amp;$A22,Daily!$A$5:$A$9,"&lt;="&amp;$B22),0)</f>
        <v/>
      </c>
      <c r="F22" s="10">
        <f>IFERROR(AVERAGEIFS(Daily!$J$5:$J$9,Daily!$A$5:$A$9,"&gt;="&amp;$A22,Daily!$A$5:$A$9,"&lt;="&amp;$B22),0)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Diet/zero-sugar soft drink (330 ml)</t>
        </is>
      </c>
      <c r="B41" s="7" t="n">
        <v>0</v>
      </c>
      <c r="C41" s="7" t="n">
        <v>2</v>
      </c>
      <c r="D41" s="8">
        <f>AVERAGE(B41:C41)</f>
        <v/>
      </c>
      <c r="E41" s="5" t="inlineStr">
        <is>
          <t>0 g</t>
        </is>
      </c>
      <c r="F41" s="6" t="inlineStr">
        <is>
          <t>Genuinely zero - unlike fruit juice sold as no added sugar</t>
        </is>
      </c>
    </row>
    <row r="42">
      <c r="A42" s="6" t="inlineStr">
        <is>
          <t>Whey scoop (in black coffee no sugar)</t>
        </is>
      </c>
      <c r="B42" s="7" t="n">
        <v>100</v>
      </c>
      <c r="C42" s="7" t="n">
        <v>130</v>
      </c>
      <c r="D42" s="8">
        <f>AVERAGE(B42:C42)</f>
        <v/>
      </c>
      <c r="E42" s="5" t="inlineStr">
        <is>
          <t>~20-25 g</t>
        </is>
      </c>
      <c r="F42" s="6" t="inlineStr"/>
    </row>
    <row r="43">
      <c r="A43" s="6" t="inlineStr">
        <is>
          <t>Cashew/almond biscuit (1)</t>
        </is>
      </c>
      <c r="B43" s="7" t="n">
        <v>38</v>
      </c>
      <c r="C43" s="7" t="n">
        <v>38</v>
      </c>
      <c r="D43" s="8">
        <f>AVERAGE(B43:C43)</f>
        <v/>
      </c>
      <c r="E43" s="5" t="inlineStr">
        <is>
          <t>~0.5 g</t>
        </is>
      </c>
      <c r="F43" s="6" t="inlineStr"/>
    </row>
    <row r="44">
      <c r="A44" s="6" t="inlineStr">
        <is>
          <t>Chocolate bar (~50g standard)</t>
        </is>
      </c>
      <c r="B44" s="7" t="n">
        <v>245</v>
      </c>
      <c r="C44" s="7" t="n">
        <v>250</v>
      </c>
      <c r="D44" s="8">
        <f>AVERAGE(B44:C44)</f>
        <v/>
      </c>
      <c r="E44" s="5" t="inlineStr">
        <is>
          <t>~4 g</t>
        </is>
      </c>
      <c r="F44" s="6" t="inlineStr"/>
    </row>
    <row r="45">
      <c r="A45" s="6" t="inlineStr">
        <is>
          <t>Chocolate bar (70g king-size)</t>
        </is>
      </c>
      <c r="B45" s="7" t="n">
        <v>335</v>
      </c>
      <c r="C45" s="7" t="n">
        <v>335</v>
      </c>
      <c r="D45" s="8">
        <f>AVERAGE(B45:C45)</f>
        <v/>
      </c>
      <c r="E45" s="5" t="inlineStr">
        <is>
          <t>~6 g</t>
        </is>
      </c>
      <c r="F45" s="6" t="inlineStr"/>
    </row>
    <row r="46">
      <c r="A46" s="6" t="inlineStr">
        <is>
          <t>Pre-workout scoop</t>
        </is>
      </c>
      <c r="B46" s="7" t="n">
        <v>5</v>
      </c>
      <c r="C46" s="7" t="n">
        <v>15</v>
      </c>
      <c r="D46" s="8">
        <f>AVERAGE(B46:C46)</f>
        <v/>
      </c>
      <c r="E46" s="5" t="inlineStr">
        <is>
          <t>0 g</t>
        </is>
      </c>
      <c r="F46"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2026-09-08T16:23:29Z</dcterms:created>
  <dcterms:modified xsi:type="dcterms:W3CDTF">2026-09-08T16:23:29Z</dcterms:modified>
</cp:coreProperties>
</file>