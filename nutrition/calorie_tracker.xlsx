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SUMIFS(Meals!$D$5:$D$16,Meals!$A$5:$A$16,$A5,Meals!$M$5:$M$16,"logged")</f>
        <v/>
      </c>
      <c r="C5" s="8">
        <f>SUMIFS(Meals!$E$5:$E$16,Meals!$A$5:$A$16,$A5,Meals!$M$5:$M$16,"logged")</f>
        <v/>
      </c>
      <c r="D5" s="8">
        <f>AVERAGE(B5:C5)</f>
        <v/>
      </c>
      <c r="E5" s="10">
        <f>SUMIFS(Meals!$G$5:$G$16,Meals!$A$5:$A$16,$A5,Meals!$M$5:$M$16,"logged")</f>
        <v/>
      </c>
      <c r="F5" s="10">
        <f>SUMIFS(Meals!$H$5:$H$16,Meals!$A$5:$A$16,$A5,Meals!$M$5:$M$16,"logged")</f>
        <v/>
      </c>
      <c r="G5" s="10">
        <f>AVERAGE(E5:F5)</f>
        <v/>
      </c>
      <c r="H5" s="10">
        <f>SUMIFS(Meals!$J$5:$J$16,Meals!$A$5:$A$16,$A5,Meals!$M$5:$M$16,"logged")</f>
        <v/>
      </c>
      <c r="I5" s="10">
        <f>SUMIFS(Meals!$K$5:$K$16,Meals!$A$5:$A$16,$A5,Meals!$M$5:$M$16,"logged")</f>
        <v/>
      </c>
      <c r="J5" s="10">
        <f>AVERAGE(H5:I5)</f>
        <v/>
      </c>
      <c r="K5" s="18">
        <f>COUNTIFS(Meals!$A$5:$A$16,$A5,Meals!$M$5:$M$16,"logged")</f>
        <v/>
      </c>
      <c r="L5" s="18">
        <f>COUNTIFS(Meals!$A$5:$A$16,$A5,Meals!$M$5:$M$16,"pending")</f>
        <v/>
      </c>
      <c r="M5" s="19">
        <f>D5-Targets!$B$16</f>
        <v/>
      </c>
    </row>
    <row r="6">
      <c r="A6" s="20" t="n">
        <v>46270</v>
      </c>
      <c r="B6" s="21">
        <f>SUMIFS(Meals!$D$5:$D$16,Meals!$A$5:$A$16,$A6,Meals!$M$5:$M$16,"logged")</f>
        <v/>
      </c>
      <c r="C6" s="21">
        <f>SUMIFS(Meals!$E$5:$E$16,Meals!$A$5:$A$16,$A6,Meals!$M$5:$M$16,"logged")</f>
        <v/>
      </c>
      <c r="D6" s="21">
        <f>AVERAGE(B6:C6)</f>
        <v/>
      </c>
      <c r="E6" s="22">
        <f>SUMIFS(Meals!$G$5:$G$16,Meals!$A$5:$A$16,$A6,Meals!$M$5:$M$16,"logged")</f>
        <v/>
      </c>
      <c r="F6" s="22">
        <f>SUMIFS(Meals!$H$5:$H$16,Meals!$A$5:$A$16,$A6,Meals!$M$5:$M$16,"logged")</f>
        <v/>
      </c>
      <c r="G6" s="22">
        <f>AVERAGE(E6:F6)</f>
        <v/>
      </c>
      <c r="H6" s="22">
        <f>SUMIFS(Meals!$J$5:$J$16,Meals!$A$5:$A$16,$A6,Meals!$M$5:$M$16,"logged")</f>
        <v/>
      </c>
      <c r="I6" s="22">
        <f>SUMIFS(Meals!$K$5:$K$16,Meals!$A$5:$A$16,$A6,Meals!$M$5:$M$16,"logged")</f>
        <v/>
      </c>
      <c r="J6" s="22">
        <f>AVERAGE(H6:I6)</f>
        <v/>
      </c>
      <c r="K6" s="20">
        <f>COUNTIFS(Meals!$A$5:$A$16,$A6,Meals!$M$5:$M$16,"logged")</f>
        <v/>
      </c>
      <c r="L6" s="20">
        <f>COUNTIFS(Meals!$A$5:$A$16,$A6,Meals!$M$5:$M$16,"pending")</f>
        <v/>
      </c>
      <c r="M6" s="23">
        <f>D6-Targets!$B$16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COUNT(Daily!$A$5:$A$6)</f>
        <v/>
      </c>
    </row>
    <row r="6">
      <c r="A6" s="26" t="inlineStr">
        <is>
          <t>Avg calories/day (mid)</t>
        </is>
      </c>
      <c r="B6" s="8">
        <f>IFERROR(AVERAGE(Daily!$D$5:$D$6),0)</f>
        <v/>
      </c>
    </row>
    <row r="7">
      <c r="A7" s="26" t="inlineStr">
        <is>
          <t>Avg protein/day (mid, g)</t>
        </is>
      </c>
      <c r="B7" s="10">
        <f>IFERROR(AVERAGE(Daily!$G$5:$G$6),0)</f>
        <v/>
      </c>
    </row>
    <row r="8">
      <c r="A8" s="26" t="inlineStr">
        <is>
          <t>Avg fat/day (mid, g)</t>
        </is>
      </c>
      <c r="B8" s="10">
        <f>IFERROR(AVERAGE(Daily!$J$5:$J$6),0)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COUNTIFS(Daily!$G$5:$G$6,"&gt;="&amp;Targets!$B$20)</f>
        <v/>
      </c>
    </row>
    <row r="13">
      <c r="A13" s="26" t="inlineStr">
        <is>
          <t>Total pending (unconfirmed) items</t>
        </is>
      </c>
      <c r="B13" s="18">
        <f>SUM(Daily!$L$5:$L$6)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Barik/basmati rice (half container cooked)</t>
        </is>
      </c>
      <c r="B16" s="7" t="n">
        <v>200</v>
      </c>
      <c r="C16" s="7" t="n">
        <v>280</v>
      </c>
      <c r="D16" s="8">
        <f>AVERAGE(B16:C16)</f>
        <v/>
      </c>
      <c r="E16" s="5" t="inlineStr">
        <is>
          <t>~4-5 g</t>
        </is>
      </c>
      <c r="F16" s="6" t="inlineStr"/>
    </row>
    <row r="17">
      <c r="A17" s="6" t="inlineStr">
        <is>
          <t>Fresh pineapple juice (350-450 ml)</t>
        </is>
      </c>
      <c r="B17" s="7" t="n">
        <v>175</v>
      </c>
      <c r="C17" s="7" t="n">
        <v>240</v>
      </c>
      <c r="D17" s="8">
        <f>AVERAGE(B17:C17)</f>
        <v/>
      </c>
      <c r="E17" s="5" t="inlineStr">
        <is>
          <t>~1-2 g</t>
        </is>
      </c>
      <c r="F17" s="6" t="inlineStr">
        <is>
          <t>No added sugar but ~35-45 g natural sugar; no fibre; almost no protein</t>
        </is>
      </c>
    </row>
    <row r="18">
      <c r="A18" s="6" t="inlineStr">
        <is>
          <t>Whey scoop (in water)</t>
        </is>
      </c>
      <c r="B18" s="7" t="n">
        <v>100</v>
      </c>
      <c r="C18" s="7" t="n">
        <v>120</v>
      </c>
      <c r="D18" s="8">
        <f>AVERAGE(B18:C18)</f>
        <v/>
      </c>
      <c r="E18" s="5" t="inlineStr">
        <is>
          <t>~20-25 g</t>
        </is>
      </c>
      <c r="F18" s="6" t="inlineStr"/>
    </row>
    <row r="19">
      <c r="A19" s="6" t="inlineStr">
        <is>
          <t>Greek yogurt (200 g plain low-fat)</t>
        </is>
      </c>
      <c r="B19" s="7" t="n">
        <v>120</v>
      </c>
      <c r="C19" s="7" t="n">
        <v>140</v>
      </c>
      <c r="D19" s="8">
        <f>AVERAGE(B19:C19)</f>
        <v/>
      </c>
      <c r="E19" s="5" t="inlineStr">
        <is>
          <t>~18-20 g</t>
        </is>
      </c>
      <c r="F19" s="6" t="inlineStr">
        <is>
          <t>Casein - digests slowly; good overnight</t>
        </is>
      </c>
    </row>
    <row r="20">
      <c r="A20" s="6" t="inlineStr">
        <is>
          <t>Boiled egg (1 large)</t>
        </is>
      </c>
      <c r="B20" s="7" t="n">
        <v>70</v>
      </c>
      <c r="C20" s="7" t="n">
        <v>78</v>
      </c>
      <c r="D20" s="8">
        <f>AVERAGE(B20:C20)</f>
        <v/>
      </c>
      <c r="E20" s="5" t="inlineStr">
        <is>
          <t>~6-6.5 g</t>
        </is>
      </c>
      <c r="F20" s="6" t="inlineStr">
        <is>
          <t>~5 g fat each</t>
        </is>
      </c>
    </row>
    <row r="21">
      <c r="A21" s="6" t="inlineStr">
        <is>
          <t>Paneer (50 g full-fat)</t>
        </is>
      </c>
      <c r="B21" s="7" t="n">
        <v>130</v>
      </c>
      <c r="C21" s="7" t="n">
        <v>150</v>
      </c>
      <c r="D21" s="8">
        <f>AVERAGE(B21:C21)</f>
        <v/>
      </c>
      <c r="E21" s="5" t="inlineStr">
        <is>
          <t>~8-9 g</t>
        </is>
      </c>
      <c r="F21" s="6" t="inlineStr">
        <is>
          <t>Fat-dense for the protein it gives</t>
        </is>
      </c>
    </row>
    <row r="22">
      <c r="A22" s="6" t="inlineStr">
        <is>
          <t>Cucumber (1 medium)</t>
        </is>
      </c>
      <c r="B22" s="7" t="n">
        <v>25</v>
      </c>
      <c r="C22" s="7" t="n">
        <v>30</v>
      </c>
      <c r="D22" s="8">
        <f>AVERAGE(B22:C22)</f>
        <v/>
      </c>
      <c r="E22" s="5" t="inlineStr">
        <is>
          <t>~1.5 g</t>
        </is>
      </c>
      <c r="F22" s="6" t="inlineStr">
        <is>
          <t>Volume with almost no calories</t>
        </is>
      </c>
    </row>
    <row r="23">
      <c r="A23" s="6" t="inlineStr">
        <is>
          <t>Whey scoop (in black coffee no sugar)</t>
        </is>
      </c>
      <c r="B23" s="7" t="n">
        <v>100</v>
      </c>
      <c r="C23" s="7" t="n">
        <v>130</v>
      </c>
      <c r="D23" s="8">
        <f>AVERAGE(B23:C23)</f>
        <v/>
      </c>
      <c r="E23" s="5" t="inlineStr">
        <is>
          <t>~20-25 g</t>
        </is>
      </c>
      <c r="F23" s="6" t="inlineStr"/>
    </row>
    <row r="24">
      <c r="A24" s="6" t="inlineStr">
        <is>
          <t>Cashew/almond biscuit (1)</t>
        </is>
      </c>
      <c r="B24" s="7" t="n">
        <v>38</v>
      </c>
      <c r="C24" s="7" t="n">
        <v>38</v>
      </c>
      <c r="D24" s="8">
        <f>AVERAGE(B24:C24)</f>
        <v/>
      </c>
      <c r="E24" s="5" t="inlineStr">
        <is>
          <t>~0.5 g</t>
        </is>
      </c>
      <c r="F24" s="6" t="inlineStr"/>
    </row>
    <row r="25">
      <c r="A25" s="6" t="inlineStr">
        <is>
          <t>Chocolate bar (~50g standard)</t>
        </is>
      </c>
      <c r="B25" s="7" t="n">
        <v>245</v>
      </c>
      <c r="C25" s="7" t="n">
        <v>250</v>
      </c>
      <c r="D25" s="8">
        <f>AVERAGE(B25:C25)</f>
        <v/>
      </c>
      <c r="E25" s="5" t="inlineStr">
        <is>
          <t>~4 g</t>
        </is>
      </c>
      <c r="F25" s="6" t="inlineStr"/>
    </row>
    <row r="26">
      <c r="A26" s="6" t="inlineStr">
        <is>
          <t>Chocolate bar (70g king-size)</t>
        </is>
      </c>
      <c r="B26" s="7" t="n">
        <v>335</v>
      </c>
      <c r="C26" s="7" t="n">
        <v>335</v>
      </c>
      <c r="D26" s="8">
        <f>AVERAGE(B26:C26)</f>
        <v/>
      </c>
      <c r="E26" s="5" t="inlineStr">
        <is>
          <t>~6 g</t>
        </is>
      </c>
      <c r="F26" s="6" t="inlineStr"/>
    </row>
    <row r="27">
      <c r="A27" s="6" t="inlineStr">
        <is>
          <t>Pre-workout scoop</t>
        </is>
      </c>
      <c r="B27" s="7" t="n">
        <v>5</v>
      </c>
      <c r="C27" s="7" t="n">
        <v>15</v>
      </c>
      <c r="D27" s="8">
        <f>AVERAGE(B27:C27)</f>
        <v/>
      </c>
      <c r="E27" s="5" t="inlineStr">
        <is>
          <t>0 g</t>
        </is>
      </c>
      <c r="F27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2026-09-05T20:19:21Z</dcterms:created>
  <dcterms:modified xsi:type="dcterms:W3CDTF">2026-09-05T20:19:21Z</dcterms:modified>
</cp:coreProperties>
</file>