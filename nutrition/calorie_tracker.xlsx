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SUMIFS(Meals!$D$5:$D$17,Meals!$A$5:$A$17,$A5,Meals!$M$5:$M$17,"logged")</f>
        <v/>
      </c>
      <c r="C5" s="8">
        <f>SUMIFS(Meals!$E$5:$E$17,Meals!$A$5:$A$17,$A5,Meals!$M$5:$M$17,"logged")</f>
        <v/>
      </c>
      <c r="D5" s="8">
        <f>AVERAGE(B5:C5)</f>
        <v/>
      </c>
      <c r="E5" s="10">
        <f>SUMIFS(Meals!$G$5:$G$17,Meals!$A$5:$A$17,$A5,Meals!$M$5:$M$17,"logged")</f>
        <v/>
      </c>
      <c r="F5" s="10">
        <f>SUMIFS(Meals!$H$5:$H$17,Meals!$A$5:$A$17,$A5,Meals!$M$5:$M$17,"logged")</f>
        <v/>
      </c>
      <c r="G5" s="10">
        <f>AVERAGE(E5:F5)</f>
        <v/>
      </c>
      <c r="H5" s="10">
        <f>SUMIFS(Meals!$J$5:$J$17,Meals!$A$5:$A$17,$A5,Meals!$M$5:$M$17,"logged")</f>
        <v/>
      </c>
      <c r="I5" s="10">
        <f>SUMIFS(Meals!$K$5:$K$17,Meals!$A$5:$A$17,$A5,Meals!$M$5:$M$17,"logged")</f>
        <v/>
      </c>
      <c r="J5" s="10">
        <f>AVERAGE(H5:I5)</f>
        <v/>
      </c>
      <c r="K5" s="18">
        <f>COUNTIFS(Meals!$A$5:$A$17,$A5,Meals!$M$5:$M$17,"logged")</f>
        <v/>
      </c>
      <c r="L5" s="18">
        <f>COUNTIFS(Meals!$A$5:$A$17,$A5,Meals!$M$5:$M$17,"pending")</f>
        <v/>
      </c>
      <c r="M5" s="19">
        <f>D5-Targets!$B$16</f>
        <v/>
      </c>
    </row>
    <row r="6">
      <c r="A6" s="20" t="n">
        <v>46270</v>
      </c>
      <c r="B6" s="21">
        <f>SUMIFS(Meals!$D$5:$D$17,Meals!$A$5:$A$17,$A6,Meals!$M$5:$M$17,"logged")</f>
        <v/>
      </c>
      <c r="C6" s="21">
        <f>SUMIFS(Meals!$E$5:$E$17,Meals!$A$5:$A$17,$A6,Meals!$M$5:$M$17,"logged")</f>
        <v/>
      </c>
      <c r="D6" s="21">
        <f>AVERAGE(B6:C6)</f>
        <v/>
      </c>
      <c r="E6" s="22">
        <f>SUMIFS(Meals!$G$5:$G$17,Meals!$A$5:$A$17,$A6,Meals!$M$5:$M$17,"logged")</f>
        <v/>
      </c>
      <c r="F6" s="22">
        <f>SUMIFS(Meals!$H$5:$H$17,Meals!$A$5:$A$17,$A6,Meals!$M$5:$M$17,"logged")</f>
        <v/>
      </c>
      <c r="G6" s="22">
        <f>AVERAGE(E6:F6)</f>
        <v/>
      </c>
      <c r="H6" s="22">
        <f>SUMIFS(Meals!$J$5:$J$17,Meals!$A$5:$A$17,$A6,Meals!$M$5:$M$17,"logged")</f>
        <v/>
      </c>
      <c r="I6" s="22">
        <f>SUMIFS(Meals!$K$5:$K$17,Meals!$A$5:$A$17,$A6,Meals!$M$5:$M$17,"logged")</f>
        <v/>
      </c>
      <c r="J6" s="22">
        <f>AVERAGE(H6:I6)</f>
        <v/>
      </c>
      <c r="K6" s="20">
        <f>COUNTIFS(Meals!$A$5:$A$17,$A6,Meals!$M$5:$M$17,"logged")</f>
        <v/>
      </c>
      <c r="L6" s="20">
        <f>COUNTIFS(Meals!$A$5:$A$17,$A6,Meals!$M$5:$M$17,"pending")</f>
        <v/>
      </c>
      <c r="M6" s="23">
        <f>D6-Targets!$B$16</f>
        <v/>
      </c>
    </row>
    <row r="7">
      <c r="A7" s="18" t="n">
        <v>46271</v>
      </c>
      <c r="B7" s="8">
        <f>SUMIFS(Meals!$D$5:$D$17,Meals!$A$5:$A$17,$A7,Meals!$M$5:$M$17,"logged")</f>
        <v/>
      </c>
      <c r="C7" s="8">
        <f>SUMIFS(Meals!$E$5:$E$17,Meals!$A$5:$A$17,$A7,Meals!$M$5:$M$17,"logged")</f>
        <v/>
      </c>
      <c r="D7" s="8">
        <f>AVERAGE(B7:C7)</f>
        <v/>
      </c>
      <c r="E7" s="10">
        <f>SUMIFS(Meals!$G$5:$G$17,Meals!$A$5:$A$17,$A7,Meals!$M$5:$M$17,"logged")</f>
        <v/>
      </c>
      <c r="F7" s="10">
        <f>SUMIFS(Meals!$H$5:$H$17,Meals!$A$5:$A$17,$A7,Meals!$M$5:$M$17,"logged")</f>
        <v/>
      </c>
      <c r="G7" s="10">
        <f>AVERAGE(E7:F7)</f>
        <v/>
      </c>
      <c r="H7" s="10">
        <f>SUMIFS(Meals!$J$5:$J$17,Meals!$A$5:$A$17,$A7,Meals!$M$5:$M$17,"logged")</f>
        <v/>
      </c>
      <c r="I7" s="10">
        <f>SUMIFS(Meals!$K$5:$K$17,Meals!$A$5:$A$17,$A7,Meals!$M$5:$M$17,"logged")</f>
        <v/>
      </c>
      <c r="J7" s="10">
        <f>AVERAGE(H7:I7)</f>
        <v/>
      </c>
      <c r="K7" s="18">
        <f>COUNTIFS(Meals!$A$5:$A$17,$A7,Meals!$M$5:$M$17,"logged")</f>
        <v/>
      </c>
      <c r="L7" s="18">
        <f>COUNTIFS(Meals!$A$5:$A$17,$A7,Meals!$M$5:$M$17,"pending")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Grilled chicken quarter (skin on)</t>
        </is>
      </c>
      <c r="B18" s="7" t="n">
        <v>250</v>
      </c>
      <c r="C18" s="7" t="n">
        <v>320</v>
      </c>
      <c r="D18" s="8">
        <f>AVERAGE(B18:C18)</f>
        <v/>
      </c>
      <c r="E18" s="5" t="inlineStr">
        <is>
          <t>~28-33 g</t>
        </is>
      </c>
      <c r="F18" s="6" t="inlineStr">
        <is>
          <t>Skin adds ~12-15 g fat over breast</t>
        </is>
      </c>
    </row>
    <row r="19">
      <c r="A19" s="6" t="inlineStr">
        <is>
          <t>Garlic sauce / toum (1 tbsp)</t>
        </is>
      </c>
      <c r="B19" s="7" t="n">
        <v>90</v>
      </c>
      <c r="C19" s="7" t="n">
        <v>110</v>
      </c>
      <c r="D19" s="8">
        <f>AVERAGE(B19:C19)</f>
        <v/>
      </c>
      <c r="E19" s="5" t="inlineStr">
        <is>
          <t>0 g</t>
        </is>
      </c>
      <c r="F19" s="6" t="inlineStr">
        <is>
          <t>Essentially emulsified oil - the hidden cost at a grill</t>
        </is>
      </c>
    </row>
    <row r="20">
      <c r="A20" s="6" t="inlineStr">
        <is>
          <t>Khubz / pita (1 large)</t>
        </is>
      </c>
      <c r="B20" s="7" t="n">
        <v>250</v>
      </c>
      <c r="C20" s="7" t="n">
        <v>300</v>
      </c>
      <c r="D20" s="8">
        <f>AVERAGE(B20:C20)</f>
        <v/>
      </c>
      <c r="E20" s="5" t="inlineStr">
        <is>
          <t>~8-9 g</t>
        </is>
      </c>
      <c r="F20" s="6" t="inlineStr"/>
    </row>
    <row r="21">
      <c r="A21" s="6" t="inlineStr">
        <is>
          <t>Barik/basmati rice (half container cooked)</t>
        </is>
      </c>
      <c r="B21" s="7" t="n">
        <v>200</v>
      </c>
      <c r="C21" s="7" t="n">
        <v>280</v>
      </c>
      <c r="D21" s="8">
        <f>AVERAGE(B21:C21)</f>
        <v/>
      </c>
      <c r="E21" s="5" t="inlineStr">
        <is>
          <t>~4-5 g</t>
        </is>
      </c>
      <c r="F21" s="6" t="inlineStr"/>
    </row>
    <row r="22">
      <c r="A22" s="6" t="inlineStr">
        <is>
          <t>Fresh pineapple juice (350-450 ml)</t>
        </is>
      </c>
      <c r="B22" s="7" t="n">
        <v>175</v>
      </c>
      <c r="C22" s="7" t="n">
        <v>240</v>
      </c>
      <c r="D22" s="8">
        <f>AVERAGE(B22:C22)</f>
        <v/>
      </c>
      <c r="E22" s="5" t="inlineStr">
        <is>
          <t>~1-2 g</t>
        </is>
      </c>
      <c r="F22" s="6" t="inlineStr">
        <is>
          <t>No added sugar but ~35-45 g natural sugar; no fibre; almost no protein</t>
        </is>
      </c>
    </row>
    <row r="23">
      <c r="A23" s="6" t="inlineStr">
        <is>
          <t>Whey scoop (in water)</t>
        </is>
      </c>
      <c r="B23" s="7" t="n">
        <v>100</v>
      </c>
      <c r="C23" s="7" t="n">
        <v>120</v>
      </c>
      <c r="D23" s="8">
        <f>AVERAGE(B23:C23)</f>
        <v/>
      </c>
      <c r="E23" s="5" t="inlineStr">
        <is>
          <t>~20-25 g</t>
        </is>
      </c>
      <c r="F23" s="6" t="inlineStr"/>
    </row>
    <row r="24">
      <c r="A24" s="6" t="inlineStr">
        <is>
          <t>Greek yogurt (200 g plain low-fat)</t>
        </is>
      </c>
      <c r="B24" s="7" t="n">
        <v>120</v>
      </c>
      <c r="C24" s="7" t="n">
        <v>140</v>
      </c>
      <c r="D24" s="8">
        <f>AVERAGE(B24:C24)</f>
        <v/>
      </c>
      <c r="E24" s="5" t="inlineStr">
        <is>
          <t>~18-20 g</t>
        </is>
      </c>
      <c r="F24" s="6" t="inlineStr">
        <is>
          <t>Casein - digests slowly; good overnight</t>
        </is>
      </c>
    </row>
    <row r="25">
      <c r="A25" s="6" t="inlineStr">
        <is>
          <t>Boiled egg (1 large)</t>
        </is>
      </c>
      <c r="B25" s="7" t="n">
        <v>70</v>
      </c>
      <c r="C25" s="7" t="n">
        <v>78</v>
      </c>
      <c r="D25" s="8">
        <f>AVERAGE(B25:C25)</f>
        <v/>
      </c>
      <c r="E25" s="5" t="inlineStr">
        <is>
          <t>~6-6.5 g</t>
        </is>
      </c>
      <c r="F25" s="6" t="inlineStr">
        <is>
          <t>~5 g fat each</t>
        </is>
      </c>
    </row>
    <row r="26">
      <c r="A26" s="6" t="inlineStr">
        <is>
          <t>Paneer (50 g full-fat)</t>
        </is>
      </c>
      <c r="B26" s="7" t="n">
        <v>130</v>
      </c>
      <c r="C26" s="7" t="n">
        <v>150</v>
      </c>
      <c r="D26" s="8">
        <f>AVERAGE(B26:C26)</f>
        <v/>
      </c>
      <c r="E26" s="5" t="inlineStr">
        <is>
          <t>~8-9 g</t>
        </is>
      </c>
      <c r="F26" s="6" t="inlineStr">
        <is>
          <t>Fat-dense for the protein it gives</t>
        </is>
      </c>
    </row>
    <row r="27">
      <c r="A27" s="6" t="inlineStr">
        <is>
          <t>Cucumber (1 medium)</t>
        </is>
      </c>
      <c r="B27" s="7" t="n">
        <v>25</v>
      </c>
      <c r="C27" s="7" t="n">
        <v>30</v>
      </c>
      <c r="D27" s="8">
        <f>AVERAGE(B27:C27)</f>
        <v/>
      </c>
      <c r="E27" s="5" t="inlineStr">
        <is>
          <t>~1.5 g</t>
        </is>
      </c>
      <c r="F27" s="6" t="inlineStr">
        <is>
          <t>Volume with almost no calories</t>
        </is>
      </c>
    </row>
    <row r="28">
      <c r="A28" s="6" t="inlineStr">
        <is>
          <t>Whey scoop (in black coffee no sugar)</t>
        </is>
      </c>
      <c r="B28" s="7" t="n">
        <v>100</v>
      </c>
      <c r="C28" s="7" t="n">
        <v>130</v>
      </c>
      <c r="D28" s="8">
        <f>AVERAGE(B28:C28)</f>
        <v/>
      </c>
      <c r="E28" s="5" t="inlineStr">
        <is>
          <t>~20-25 g</t>
        </is>
      </c>
      <c r="F28" s="6" t="inlineStr"/>
    </row>
    <row r="29">
      <c r="A29" s="6" t="inlineStr">
        <is>
          <t>Cashew/almond biscuit (1)</t>
        </is>
      </c>
      <c r="B29" s="7" t="n">
        <v>38</v>
      </c>
      <c r="C29" s="7" t="n">
        <v>38</v>
      </c>
      <c r="D29" s="8">
        <f>AVERAGE(B29:C29)</f>
        <v/>
      </c>
      <c r="E29" s="5" t="inlineStr">
        <is>
          <t>~0.5 g</t>
        </is>
      </c>
      <c r="F29" s="6" t="inlineStr"/>
    </row>
    <row r="30">
      <c r="A30" s="6" t="inlineStr">
        <is>
          <t>Chocolate bar (~50g standard)</t>
        </is>
      </c>
      <c r="B30" s="7" t="n">
        <v>245</v>
      </c>
      <c r="C30" s="7" t="n">
        <v>250</v>
      </c>
      <c r="D30" s="8">
        <f>AVERAGE(B30:C30)</f>
        <v/>
      </c>
      <c r="E30" s="5" t="inlineStr">
        <is>
          <t>~4 g</t>
        </is>
      </c>
      <c r="F30" s="6" t="inlineStr"/>
    </row>
    <row r="31">
      <c r="A31" s="6" t="inlineStr">
        <is>
          <t>Chocolate bar (70g king-size)</t>
        </is>
      </c>
      <c r="B31" s="7" t="n">
        <v>335</v>
      </c>
      <c r="C31" s="7" t="n">
        <v>335</v>
      </c>
      <c r="D31" s="8">
        <f>AVERAGE(B31:C31)</f>
        <v/>
      </c>
      <c r="E31" s="5" t="inlineStr">
        <is>
          <t>~6 g</t>
        </is>
      </c>
      <c r="F31" s="6" t="inlineStr"/>
    </row>
    <row r="32">
      <c r="A32" s="6" t="inlineStr">
        <is>
          <t>Pre-workout scoop</t>
        </is>
      </c>
      <c r="B32" s="7" t="n">
        <v>5</v>
      </c>
      <c r="C32" s="7" t="n">
        <v>15</v>
      </c>
      <c r="D32" s="8">
        <f>AVERAGE(B32:C32)</f>
        <v/>
      </c>
      <c r="E32" s="5" t="inlineStr">
        <is>
          <t>0 g</t>
        </is>
      </c>
      <c r="F32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2026-09-06T05:21:46Z</dcterms:created>
  <dcterms:modified xsi:type="dcterms:W3CDTF">2026-09-06T05:21:46Z</dcterms:modified>
</cp:coreProperties>
</file>