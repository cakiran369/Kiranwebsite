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Snack</t>
        </is>
      </c>
      <c r="C37" s="6" t="inlineStr">
        <is>
          <t>Black coffee + 1 whey scoop</t>
        </is>
      </c>
      <c r="D37" s="7" t="n">
        <v>100</v>
      </c>
      <c r="E37" s="7" t="n">
        <v>130</v>
      </c>
      <c r="F37" s="8">
        <f>AVERAGE(D37:E37)</f>
        <v/>
      </c>
      <c r="G37" s="9" t="n">
        <v>20</v>
      </c>
      <c r="H37" s="9" t="n">
        <v>25</v>
      </c>
      <c r="I37" s="10">
        <f>AVERAGE(G37:H37)</f>
        <v/>
      </c>
      <c r="J37" s="9" t="n">
        <v>1</v>
      </c>
      <c r="K37" s="9" t="n">
        <v>3</v>
      </c>
      <c r="L37" s="10">
        <f>AVERAGE(J37:K37)</f>
        <v/>
      </c>
      <c r="M37" s="5" t="inlineStr">
        <is>
          <t>logged</t>
        </is>
      </c>
      <c r="N37" s="6" t="inlineStr">
        <is>
          <t>Scoop 1 of the 3 planned for today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SUMIFS(Meals!$D$5:$D$37,Meals!$A$5:$A$37,$A5,Meals!$M$5:$M$37,"logged")</f>
        <v/>
      </c>
      <c r="C5" s="8">
        <f>SUMIFS(Meals!$E$5:$E$37,Meals!$A$5:$A$37,$A5,Meals!$M$5:$M$37,"logged")</f>
        <v/>
      </c>
      <c r="D5" s="8">
        <f>AVERAGE(B5:C5)</f>
        <v/>
      </c>
      <c r="E5" s="10">
        <f>SUMIFS(Meals!$G$5:$G$37,Meals!$A$5:$A$37,$A5,Meals!$M$5:$M$37,"logged")</f>
        <v/>
      </c>
      <c r="F5" s="10">
        <f>SUMIFS(Meals!$H$5:$H$37,Meals!$A$5:$A$37,$A5,Meals!$M$5:$M$37,"logged")</f>
        <v/>
      </c>
      <c r="G5" s="10">
        <f>AVERAGE(E5:F5)</f>
        <v/>
      </c>
      <c r="H5" s="10">
        <f>SUMIFS(Meals!$J$5:$J$37,Meals!$A$5:$A$37,$A5,Meals!$M$5:$M$37,"logged")</f>
        <v/>
      </c>
      <c r="I5" s="10">
        <f>SUMIFS(Meals!$K$5:$K$37,Meals!$A$5:$A$37,$A5,Meals!$M$5:$M$37,"logged")</f>
        <v/>
      </c>
      <c r="J5" s="10">
        <f>AVERAGE(H5:I5)</f>
        <v/>
      </c>
      <c r="K5" s="18">
        <f>COUNTIFS(Meals!$A$5:$A$37,$A5,Meals!$M$5:$M$37,"logged")</f>
        <v/>
      </c>
      <c r="L5" s="18">
        <f>COUNTIFS(Meals!$A$5:$A$37,$A5,Meals!$M$5:$M$37,"pending")</f>
        <v/>
      </c>
      <c r="M5" s="19">
        <f>D5-Targets!$B$16</f>
        <v/>
      </c>
    </row>
    <row r="6">
      <c r="A6" s="20" t="n">
        <v>46270</v>
      </c>
      <c r="B6" s="21">
        <f>SUMIFS(Meals!$D$5:$D$37,Meals!$A$5:$A$37,$A6,Meals!$M$5:$M$37,"logged")</f>
        <v/>
      </c>
      <c r="C6" s="21">
        <f>SUMIFS(Meals!$E$5:$E$37,Meals!$A$5:$A$37,$A6,Meals!$M$5:$M$37,"logged")</f>
        <v/>
      </c>
      <c r="D6" s="21">
        <f>AVERAGE(B6:C6)</f>
        <v/>
      </c>
      <c r="E6" s="22">
        <f>SUMIFS(Meals!$G$5:$G$37,Meals!$A$5:$A$37,$A6,Meals!$M$5:$M$37,"logged")</f>
        <v/>
      </c>
      <c r="F6" s="22">
        <f>SUMIFS(Meals!$H$5:$H$37,Meals!$A$5:$A$37,$A6,Meals!$M$5:$M$37,"logged")</f>
        <v/>
      </c>
      <c r="G6" s="22">
        <f>AVERAGE(E6:F6)</f>
        <v/>
      </c>
      <c r="H6" s="22">
        <f>SUMIFS(Meals!$J$5:$J$37,Meals!$A$5:$A$37,$A6,Meals!$M$5:$M$37,"logged")</f>
        <v/>
      </c>
      <c r="I6" s="22">
        <f>SUMIFS(Meals!$K$5:$K$37,Meals!$A$5:$A$37,$A6,Meals!$M$5:$M$37,"logged")</f>
        <v/>
      </c>
      <c r="J6" s="22">
        <f>AVERAGE(H6:I6)</f>
        <v/>
      </c>
      <c r="K6" s="20">
        <f>COUNTIFS(Meals!$A$5:$A$37,$A6,Meals!$M$5:$M$37,"logged")</f>
        <v/>
      </c>
      <c r="L6" s="20">
        <f>COUNTIFS(Meals!$A$5:$A$37,$A6,Meals!$M$5:$M$37,"pending")</f>
        <v/>
      </c>
      <c r="M6" s="23">
        <f>D6-Targets!$B$16</f>
        <v/>
      </c>
    </row>
    <row r="7">
      <c r="A7" s="18" t="n">
        <v>46271</v>
      </c>
      <c r="B7" s="8">
        <f>SUMIFS(Meals!$D$5:$D$37,Meals!$A$5:$A$37,$A7,Meals!$M$5:$M$37,"logged")</f>
        <v/>
      </c>
      <c r="C7" s="8">
        <f>SUMIFS(Meals!$E$5:$E$37,Meals!$A$5:$A$37,$A7,Meals!$M$5:$M$37,"logged")</f>
        <v/>
      </c>
      <c r="D7" s="8">
        <f>AVERAGE(B7:C7)</f>
        <v/>
      </c>
      <c r="E7" s="10">
        <f>SUMIFS(Meals!$G$5:$G$37,Meals!$A$5:$A$37,$A7,Meals!$M$5:$M$37,"logged")</f>
        <v/>
      </c>
      <c r="F7" s="10">
        <f>SUMIFS(Meals!$H$5:$H$37,Meals!$A$5:$A$37,$A7,Meals!$M$5:$M$37,"logged")</f>
        <v/>
      </c>
      <c r="G7" s="10">
        <f>AVERAGE(E7:F7)</f>
        <v/>
      </c>
      <c r="H7" s="10">
        <f>SUMIFS(Meals!$J$5:$J$37,Meals!$A$5:$A$37,$A7,Meals!$M$5:$M$37,"logged")</f>
        <v/>
      </c>
      <c r="I7" s="10">
        <f>SUMIFS(Meals!$K$5:$K$37,Meals!$A$5:$A$37,$A7,Meals!$M$5:$M$37,"logged")</f>
        <v/>
      </c>
      <c r="J7" s="10">
        <f>AVERAGE(H7:I7)</f>
        <v/>
      </c>
      <c r="K7" s="18">
        <f>COUNTIFS(Meals!$A$5:$A$37,$A7,Meals!$M$5:$M$37,"logged")</f>
        <v/>
      </c>
      <c r="L7" s="18">
        <f>COUNTIFS(Meals!$A$5:$A$37,$A7,Meals!$M$5:$M$37,"pending")</f>
        <v/>
      </c>
      <c r="M7" s="19">
        <f>D7-Targets!$B$16</f>
        <v/>
      </c>
    </row>
    <row r="8">
      <c r="A8" s="20" t="n">
        <v>46272</v>
      </c>
      <c r="B8" s="21">
        <f>SUMIFS(Meals!$D$5:$D$37,Meals!$A$5:$A$37,$A8,Meals!$M$5:$M$37,"logged")</f>
        <v/>
      </c>
      <c r="C8" s="21">
        <f>SUMIFS(Meals!$E$5:$E$37,Meals!$A$5:$A$37,$A8,Meals!$M$5:$M$37,"logged")</f>
        <v/>
      </c>
      <c r="D8" s="21">
        <f>AVERAGE(B8:C8)</f>
        <v/>
      </c>
      <c r="E8" s="22">
        <f>SUMIFS(Meals!$G$5:$G$37,Meals!$A$5:$A$37,$A8,Meals!$M$5:$M$37,"logged")</f>
        <v/>
      </c>
      <c r="F8" s="22">
        <f>SUMIFS(Meals!$H$5:$H$37,Meals!$A$5:$A$37,$A8,Meals!$M$5:$M$37,"logged")</f>
        <v/>
      </c>
      <c r="G8" s="22">
        <f>AVERAGE(E8:F8)</f>
        <v/>
      </c>
      <c r="H8" s="22">
        <f>SUMIFS(Meals!$J$5:$J$37,Meals!$A$5:$A$37,$A8,Meals!$M$5:$M$37,"logged")</f>
        <v/>
      </c>
      <c r="I8" s="22">
        <f>SUMIFS(Meals!$K$5:$K$37,Meals!$A$5:$A$37,$A8,Meals!$M$5:$M$37,"logged")</f>
        <v/>
      </c>
      <c r="J8" s="22">
        <f>AVERAGE(H8:I8)</f>
        <v/>
      </c>
      <c r="K8" s="20">
        <f>COUNTIFS(Meals!$A$5:$A$37,$A8,Meals!$M$5:$M$37,"logged")</f>
        <v/>
      </c>
      <c r="L8" s="20">
        <f>COUNTIFS(Meals!$A$5:$A$37,$A8,Meals!$M$5:$M$37,"pending")</f>
        <v/>
      </c>
      <c r="M8" s="23">
        <f>D8-Targets!$B$16</f>
        <v/>
      </c>
    </row>
    <row r="9">
      <c r="A9" s="18" t="n">
        <v>46273</v>
      </c>
      <c r="B9" s="8">
        <f>SUMIFS(Meals!$D$5:$D$37,Meals!$A$5:$A$37,$A9,Meals!$M$5:$M$37,"logged")</f>
        <v/>
      </c>
      <c r="C9" s="8">
        <f>SUMIFS(Meals!$E$5:$E$37,Meals!$A$5:$A$37,$A9,Meals!$M$5:$M$37,"logged")</f>
        <v/>
      </c>
      <c r="D9" s="8">
        <f>AVERAGE(B9:C9)</f>
        <v/>
      </c>
      <c r="E9" s="10">
        <f>SUMIFS(Meals!$G$5:$G$37,Meals!$A$5:$A$37,$A9,Meals!$M$5:$M$37,"logged")</f>
        <v/>
      </c>
      <c r="F9" s="10">
        <f>SUMIFS(Meals!$H$5:$H$37,Meals!$A$5:$A$37,$A9,Meals!$M$5:$M$37,"logged")</f>
        <v/>
      </c>
      <c r="G9" s="10">
        <f>AVERAGE(E9:F9)</f>
        <v/>
      </c>
      <c r="H9" s="10">
        <f>SUMIFS(Meals!$J$5:$J$37,Meals!$A$5:$A$37,$A9,Meals!$M$5:$M$37,"logged")</f>
        <v/>
      </c>
      <c r="I9" s="10">
        <f>SUMIFS(Meals!$K$5:$K$37,Meals!$A$5:$A$37,$A9,Meals!$M$5:$M$37,"logged")</f>
        <v/>
      </c>
      <c r="J9" s="10">
        <f>AVERAGE(H9:I9)</f>
        <v/>
      </c>
      <c r="K9" s="18">
        <f>COUNTIFS(Meals!$A$5:$A$37,$A9,Meals!$M$5:$M$37,"logged")</f>
        <v/>
      </c>
      <c r="L9" s="18">
        <f>COUNTIFS(Meals!$A$5:$A$37,$A9,Meals!$M$5:$M$37,"pending")</f>
        <v/>
      </c>
      <c r="M9" s="19">
        <f>D9-Targets!$B$16</f>
        <v/>
      </c>
    </row>
    <row r="10">
      <c r="A10" s="20" t="n">
        <v>46274</v>
      </c>
      <c r="B10" s="21">
        <f>SUMIFS(Meals!$D$5:$D$37,Meals!$A$5:$A$37,$A10,Meals!$M$5:$M$37,"logged")</f>
        <v/>
      </c>
      <c r="C10" s="21">
        <f>SUMIFS(Meals!$E$5:$E$37,Meals!$A$5:$A$37,$A10,Meals!$M$5:$M$37,"logged")</f>
        <v/>
      </c>
      <c r="D10" s="21">
        <f>AVERAGE(B10:C10)</f>
        <v/>
      </c>
      <c r="E10" s="22">
        <f>SUMIFS(Meals!$G$5:$G$37,Meals!$A$5:$A$37,$A10,Meals!$M$5:$M$37,"logged")</f>
        <v/>
      </c>
      <c r="F10" s="22">
        <f>SUMIFS(Meals!$H$5:$H$37,Meals!$A$5:$A$37,$A10,Meals!$M$5:$M$37,"logged")</f>
        <v/>
      </c>
      <c r="G10" s="22">
        <f>AVERAGE(E10:F10)</f>
        <v/>
      </c>
      <c r="H10" s="22">
        <f>SUMIFS(Meals!$J$5:$J$37,Meals!$A$5:$A$37,$A10,Meals!$M$5:$M$37,"logged")</f>
        <v/>
      </c>
      <c r="I10" s="22">
        <f>SUMIFS(Meals!$K$5:$K$37,Meals!$A$5:$A$37,$A10,Meals!$M$5:$M$37,"logged")</f>
        <v/>
      </c>
      <c r="J10" s="22">
        <f>AVERAGE(H10:I10)</f>
        <v/>
      </c>
      <c r="K10" s="20">
        <f>COUNTIFS(Meals!$A$5:$A$37,$A10,Meals!$M$5:$M$37,"logged")</f>
        <v/>
      </c>
      <c r="L10" s="20">
        <f>COUNTIFS(Meals!$A$5:$A$37,$A10,Meals!$M$5:$M$37,"pending")</f>
        <v/>
      </c>
      <c r="M10" s="23">
        <f>D10-Targets!$B$16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COUNT(Daily!$A$5:$A$10)</f>
        <v/>
      </c>
    </row>
    <row r="6">
      <c r="A6" s="29" t="inlineStr">
        <is>
          <t>Avg calories/day (mid)</t>
        </is>
      </c>
      <c r="B6" s="8">
        <f>IFERROR(AVERAGE(Daily!$D$5:$D$10),0)</f>
        <v/>
      </c>
    </row>
    <row r="7">
      <c r="A7" s="29" t="inlineStr">
        <is>
          <t>Avg protein/day (mid, g)</t>
        </is>
      </c>
      <c r="B7" s="10">
        <f>IFERROR(AVERAGE(Daily!$G$5:$G$10),0)</f>
        <v/>
      </c>
    </row>
    <row r="8">
      <c r="A8" s="29" t="inlineStr">
        <is>
          <t>Avg fat/day (mid, g)</t>
        </is>
      </c>
      <c r="B8" s="10">
        <f>IFERROR(AVERAGE(Daily!$J$5:$J$10),0)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COUNTIFS(Daily!$G$5:$G$10,"&gt;="&amp;Targets!$B$20)</f>
        <v/>
      </c>
    </row>
    <row r="13">
      <c r="A13" s="29" t="inlineStr">
        <is>
          <t>Total pending (unconfirmed) items</t>
        </is>
      </c>
      <c r="B13" s="18">
        <f>SUM(Daily!$L$5:$L$10)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COUNTIFS(Daily!$A$5:$A$10,"&gt;="&amp;$A17,Daily!$A$5:$A$10,"&lt;="&amp;$B17)</f>
        <v/>
      </c>
      <c r="D17" s="8">
        <f>IFERROR(AVERAGEIFS(Daily!$D$5:$D$10,Daily!$A$5:$A$10,"&gt;="&amp;$A17,Daily!$A$5:$A$10,"&lt;="&amp;$B17),0)</f>
        <v/>
      </c>
      <c r="E17" s="10">
        <f>IFERROR(AVERAGEIFS(Daily!$G$5:$G$10,Daily!$A$5:$A$10,"&gt;="&amp;$A17,Daily!$A$5:$A$10,"&lt;="&amp;$B17),0)</f>
        <v/>
      </c>
      <c r="F17" s="10">
        <f>IFERROR(AVERAGEIFS(Daily!$J$5:$J$10,Daily!$A$5:$A$10,"&gt;="&amp;$A17,Daily!$A$5:$A$10,"&lt;="&amp;$B17),0)</f>
        <v/>
      </c>
    </row>
    <row r="18">
      <c r="A18" s="4" t="n">
        <v>46272</v>
      </c>
      <c r="B18" s="4" t="n">
        <v>46278</v>
      </c>
      <c r="C18" s="18">
        <f>COUNTIFS(Daily!$A$5:$A$10,"&gt;="&amp;$A18,Daily!$A$5:$A$10,"&lt;="&amp;$B18)</f>
        <v/>
      </c>
      <c r="D18" s="8">
        <f>IFERROR(AVERAGEIFS(Daily!$D$5:$D$10,Daily!$A$5:$A$10,"&gt;="&amp;$A18,Daily!$A$5:$A$10,"&lt;="&amp;$B18),0)</f>
        <v/>
      </c>
      <c r="E18" s="10">
        <f>IFERROR(AVERAGEIFS(Daily!$G$5:$G$10,Daily!$A$5:$A$10,"&gt;="&amp;$A18,Daily!$A$5:$A$10,"&lt;="&amp;$B18),0)</f>
        <v/>
      </c>
      <c r="F18" s="10">
        <f>IFERROR(AVERAGEIFS(Daily!$J$5:$J$10,Daily!$A$5:$A$10,"&gt;="&amp;$A18,Daily!$A$5:$A$10,"&lt;="&amp;$B18),0)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COUNTIFS(Daily!$A$5:$A$10,"&gt;="&amp;$A22,Daily!$A$5:$A$10,"&lt;="&amp;$B22)</f>
        <v/>
      </c>
      <c r="D22" s="8">
        <f>IFERROR(AVERAGEIFS(Daily!$D$5:$D$10,Daily!$A$5:$A$10,"&gt;="&amp;$A22,Daily!$A$5:$A$10,"&lt;="&amp;$B22),0)</f>
        <v/>
      </c>
      <c r="E22" s="10">
        <f>IFERROR(AVERAGEIFS(Daily!$G$5:$G$10,Daily!$A$5:$A$10,"&gt;="&amp;$A22,Daily!$A$5:$A$10,"&lt;="&amp;$B22),0)</f>
        <v/>
      </c>
      <c r="F22" s="10">
        <f>IFERROR(AVERAGEIFS(Daily!$J$5:$J$10,Daily!$A$5:$A$10,"&gt;="&amp;$A22,Daily!$A$5:$A$10,"&lt;="&amp;$B22),0)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2026-09-09T07:53:27Z</dcterms:created>
  <dcterms:modified xsi:type="dcterms:W3CDTF">2026-09-09T07:53:27Z</dcterms:modified>
</cp:coreProperties>
</file>