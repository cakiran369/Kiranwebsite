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ss Plan" sheetId="4" state="visible" r:id="rId4"/>
    <sheet name="Trends" sheetId="5" state="visible" r:id="rId5"/>
    <sheet name="Targets" sheetId="6" state="visible" r:id="rId6"/>
    <sheet name="Reference"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5"/>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Lunch</t>
        </is>
      </c>
      <c r="C23" s="6" t="inlineStr">
        <is>
          <t>Mess meals plate: rice, 2 boiled eggs, 1 fried fish, sambar, green peas, buttermilk, veg curry, fish curry</t>
        </is>
      </c>
      <c r="D23" s="7" t="n">
        <v>880</v>
      </c>
      <c r="E23" s="7" t="n">
        <v>1250</v>
      </c>
      <c r="F23" s="8">
        <f>AVERAGE(D23:E23)</f>
        <v/>
      </c>
      <c r="G23" s="9" t="n">
        <v>39</v>
      </c>
      <c r="H23" s="9" t="n">
        <v>54</v>
      </c>
      <c r="I23" s="10">
        <f>AVERAGE(G23:H23)</f>
        <v/>
      </c>
      <c r="J23" s="9" t="n">
        <v>31</v>
      </c>
      <c r="K23" s="9" t="n">
        <v>51</v>
      </c>
      <c r="L23" s="10">
        <f>AVERAGE(J23:K23)</f>
        <v/>
      </c>
      <c r="M23" s="5" t="inlineStr">
        <is>
          <t>logged</t>
        </is>
      </c>
      <c r="N23" s="6" t="inlineStr">
        <is>
          <t>Eggs added by user - highest-protein single meal in the log. Rice portion looks full rather than halved</t>
        </is>
      </c>
    </row>
    <row r="24">
      <c r="A24" s="4" t="n">
        <v>46272</v>
      </c>
      <c r="B24" s="5" t="inlineStr">
        <is>
          <t>Snack</t>
        </is>
      </c>
      <c r="C24" s="6" t="inlineStr">
        <is>
          <t>Black coffee + 1 whey scoop</t>
        </is>
      </c>
      <c r="D24" s="7" t="n">
        <v>100</v>
      </c>
      <c r="E24" s="7" t="n">
        <v>130</v>
      </c>
      <c r="F24" s="8">
        <f>AVERAGE(D24:E24)</f>
        <v/>
      </c>
      <c r="G24" s="9" t="n">
        <v>20</v>
      </c>
      <c r="H24" s="9" t="n">
        <v>25</v>
      </c>
      <c r="I24" s="10">
        <f>AVERAGE(G24:H24)</f>
        <v/>
      </c>
      <c r="J24" s="9" t="n">
        <v>1</v>
      </c>
      <c r="K24" s="9" t="n">
        <v>3</v>
      </c>
      <c r="L24" s="10">
        <f>AVERAGE(J24:K24)</f>
        <v/>
      </c>
      <c r="M24" s="5" t="inlineStr">
        <is>
          <t>logged</t>
        </is>
      </c>
      <c r="N24" s="6" t="inlineStr"/>
    </row>
    <row r="25">
      <c r="A25" s="4" t="n">
        <v>46272</v>
      </c>
      <c r="B25" s="5" t="inlineStr">
        <is>
          <t>Snack</t>
        </is>
      </c>
      <c r="C25" s="6" t="inlineStr">
        <is>
          <t>Sweet melon (2 wedges)</t>
        </is>
      </c>
      <c r="D25" s="7" t="n">
        <v>70</v>
      </c>
      <c r="E25" s="7" t="n">
        <v>110</v>
      </c>
      <c r="F25" s="8">
        <f>AVERAGE(D25:E25)</f>
        <v/>
      </c>
      <c r="G25" s="9" t="n">
        <v>1</v>
      </c>
      <c r="H25" s="9" t="n">
        <v>2</v>
      </c>
      <c r="I25" s="10">
        <f>AVERAGE(G25:H25)</f>
        <v/>
      </c>
      <c r="J25" s="9" t="n">
        <v>0</v>
      </c>
      <c r="K25" s="9" t="n">
        <v>1</v>
      </c>
      <c r="L25" s="10">
        <f>AVERAGE(J25:K25)</f>
        <v/>
      </c>
      <c r="M25" s="5" t="inlineStr">
        <is>
          <t>logged</t>
        </is>
      </c>
      <c r="N25" s="6" t="inlineStr">
        <is>
          <t>Whole fruit - fibre intact; second wedge added</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SUMIFS(Meals!$D$5:$D$25,Meals!$A$5:$A$25,$A5,Meals!$M$5:$M$25,"logged")</f>
        <v/>
      </c>
      <c r="C5" s="8">
        <f>SUMIFS(Meals!$E$5:$E$25,Meals!$A$5:$A$25,$A5,Meals!$M$5:$M$25,"logged")</f>
        <v/>
      </c>
      <c r="D5" s="8">
        <f>AVERAGE(B5:C5)</f>
        <v/>
      </c>
      <c r="E5" s="10">
        <f>SUMIFS(Meals!$G$5:$G$25,Meals!$A$5:$A$25,$A5,Meals!$M$5:$M$25,"logged")</f>
        <v/>
      </c>
      <c r="F5" s="10">
        <f>SUMIFS(Meals!$H$5:$H$25,Meals!$A$5:$A$25,$A5,Meals!$M$5:$M$25,"logged")</f>
        <v/>
      </c>
      <c r="G5" s="10">
        <f>AVERAGE(E5:F5)</f>
        <v/>
      </c>
      <c r="H5" s="10">
        <f>SUMIFS(Meals!$J$5:$J$25,Meals!$A$5:$A$25,$A5,Meals!$M$5:$M$25,"logged")</f>
        <v/>
      </c>
      <c r="I5" s="10">
        <f>SUMIFS(Meals!$K$5:$K$25,Meals!$A$5:$A$25,$A5,Meals!$M$5:$M$25,"logged")</f>
        <v/>
      </c>
      <c r="J5" s="10">
        <f>AVERAGE(H5:I5)</f>
        <v/>
      </c>
      <c r="K5" s="18">
        <f>COUNTIFS(Meals!$A$5:$A$25,$A5,Meals!$M$5:$M$25,"logged")</f>
        <v/>
      </c>
      <c r="L5" s="18">
        <f>COUNTIFS(Meals!$A$5:$A$25,$A5,Meals!$M$5:$M$25,"pending")</f>
        <v/>
      </c>
      <c r="M5" s="19">
        <f>D5-Targets!$B$16</f>
        <v/>
      </c>
    </row>
    <row r="6">
      <c r="A6" s="20" t="n">
        <v>46270</v>
      </c>
      <c r="B6" s="21">
        <f>SUMIFS(Meals!$D$5:$D$25,Meals!$A$5:$A$25,$A6,Meals!$M$5:$M$25,"logged")</f>
        <v/>
      </c>
      <c r="C6" s="21">
        <f>SUMIFS(Meals!$E$5:$E$25,Meals!$A$5:$A$25,$A6,Meals!$M$5:$M$25,"logged")</f>
        <v/>
      </c>
      <c r="D6" s="21">
        <f>AVERAGE(B6:C6)</f>
        <v/>
      </c>
      <c r="E6" s="22">
        <f>SUMIFS(Meals!$G$5:$G$25,Meals!$A$5:$A$25,$A6,Meals!$M$5:$M$25,"logged")</f>
        <v/>
      </c>
      <c r="F6" s="22">
        <f>SUMIFS(Meals!$H$5:$H$25,Meals!$A$5:$A$25,$A6,Meals!$M$5:$M$25,"logged")</f>
        <v/>
      </c>
      <c r="G6" s="22">
        <f>AVERAGE(E6:F6)</f>
        <v/>
      </c>
      <c r="H6" s="22">
        <f>SUMIFS(Meals!$J$5:$J$25,Meals!$A$5:$A$25,$A6,Meals!$M$5:$M$25,"logged")</f>
        <v/>
      </c>
      <c r="I6" s="22">
        <f>SUMIFS(Meals!$K$5:$K$25,Meals!$A$5:$A$25,$A6,Meals!$M$5:$M$25,"logged")</f>
        <v/>
      </c>
      <c r="J6" s="22">
        <f>AVERAGE(H6:I6)</f>
        <v/>
      </c>
      <c r="K6" s="20">
        <f>COUNTIFS(Meals!$A$5:$A$25,$A6,Meals!$M$5:$M$25,"logged")</f>
        <v/>
      </c>
      <c r="L6" s="20">
        <f>COUNTIFS(Meals!$A$5:$A$25,$A6,Meals!$M$5:$M$25,"pending")</f>
        <v/>
      </c>
      <c r="M6" s="23">
        <f>D6-Targets!$B$16</f>
        <v/>
      </c>
    </row>
    <row r="7">
      <c r="A7" s="18" t="n">
        <v>46271</v>
      </c>
      <c r="B7" s="8">
        <f>SUMIFS(Meals!$D$5:$D$25,Meals!$A$5:$A$25,$A7,Meals!$M$5:$M$25,"logged")</f>
        <v/>
      </c>
      <c r="C7" s="8">
        <f>SUMIFS(Meals!$E$5:$E$25,Meals!$A$5:$A$25,$A7,Meals!$M$5:$M$25,"logged")</f>
        <v/>
      </c>
      <c r="D7" s="8">
        <f>AVERAGE(B7:C7)</f>
        <v/>
      </c>
      <c r="E7" s="10">
        <f>SUMIFS(Meals!$G$5:$G$25,Meals!$A$5:$A$25,$A7,Meals!$M$5:$M$25,"logged")</f>
        <v/>
      </c>
      <c r="F7" s="10">
        <f>SUMIFS(Meals!$H$5:$H$25,Meals!$A$5:$A$25,$A7,Meals!$M$5:$M$25,"logged")</f>
        <v/>
      </c>
      <c r="G7" s="10">
        <f>AVERAGE(E7:F7)</f>
        <v/>
      </c>
      <c r="H7" s="10">
        <f>SUMIFS(Meals!$J$5:$J$25,Meals!$A$5:$A$25,$A7,Meals!$M$5:$M$25,"logged")</f>
        <v/>
      </c>
      <c r="I7" s="10">
        <f>SUMIFS(Meals!$K$5:$K$25,Meals!$A$5:$A$25,$A7,Meals!$M$5:$M$25,"logged")</f>
        <v/>
      </c>
      <c r="J7" s="10">
        <f>AVERAGE(H7:I7)</f>
        <v/>
      </c>
      <c r="K7" s="18">
        <f>COUNTIFS(Meals!$A$5:$A$25,$A7,Meals!$M$5:$M$25,"logged")</f>
        <v/>
      </c>
      <c r="L7" s="18">
        <f>COUNTIFS(Meals!$A$5:$A$25,$A7,Meals!$M$5:$M$25,"pending")</f>
        <v/>
      </c>
      <c r="M7" s="19">
        <f>D7-Targets!$B$16</f>
        <v/>
      </c>
    </row>
    <row r="8">
      <c r="A8" s="20" t="n">
        <v>46272</v>
      </c>
      <c r="B8" s="21">
        <f>SUMIFS(Meals!$D$5:$D$25,Meals!$A$5:$A$25,$A8,Meals!$M$5:$M$25,"logged")</f>
        <v/>
      </c>
      <c r="C8" s="21">
        <f>SUMIFS(Meals!$E$5:$E$25,Meals!$A$5:$A$25,$A8,Meals!$M$5:$M$25,"logged")</f>
        <v/>
      </c>
      <c r="D8" s="21">
        <f>AVERAGE(B8:C8)</f>
        <v/>
      </c>
      <c r="E8" s="22">
        <f>SUMIFS(Meals!$G$5:$G$25,Meals!$A$5:$A$25,$A8,Meals!$M$5:$M$25,"logged")</f>
        <v/>
      </c>
      <c r="F8" s="22">
        <f>SUMIFS(Meals!$H$5:$H$25,Meals!$A$5:$A$25,$A8,Meals!$M$5:$M$25,"logged")</f>
        <v/>
      </c>
      <c r="G8" s="22">
        <f>AVERAGE(E8:F8)</f>
        <v/>
      </c>
      <c r="H8" s="22">
        <f>SUMIFS(Meals!$J$5:$J$25,Meals!$A$5:$A$25,$A8,Meals!$M$5:$M$25,"logged")</f>
        <v/>
      </c>
      <c r="I8" s="22">
        <f>SUMIFS(Meals!$K$5:$K$25,Meals!$A$5:$A$25,$A8,Meals!$M$5:$M$25,"logged")</f>
        <v/>
      </c>
      <c r="J8" s="22">
        <f>AVERAGE(H8:I8)</f>
        <v/>
      </c>
      <c r="K8" s="20">
        <f>COUNTIFS(Meals!$A$5:$A$25,$A8,Meals!$M$5:$M$25,"logged")</f>
        <v/>
      </c>
      <c r="L8" s="20">
        <f>COUNTIFS(Meals!$A$5:$A$25,$A8,Meals!$M$5:$M$25,"pending")</f>
        <v/>
      </c>
      <c r="M8" s="23">
        <f>D8-Targets!$B$16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8">
      <c r="A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205</v>
      </c>
      <c r="C5" s="27" t="inlineStr">
        <is>
          <t>1 porotta/poori. The worst protein-per-calorie item on the menu.</t>
        </is>
      </c>
    </row>
    <row r="6">
      <c r="A6" s="29" t="inlineStr">
        <is>
          <t>Bread item - protein (g)</t>
        </is>
      </c>
      <c r="B6" s="16" t="n">
        <v>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bread items</t>
        </is>
      </c>
      <c r="E14" s="7" t="n">
        <v>1865</v>
      </c>
      <c r="F14" s="9" t="n">
        <v>59.5</v>
      </c>
      <c r="G14" s="31" t="n">
        <v>1</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bread items</t>
        </is>
      </c>
      <c r="E15" s="7" t="n">
        <v>1745</v>
      </c>
      <c r="F15" s="9" t="n">
        <v>54.5</v>
      </c>
      <c r="G15" s="31" t="n">
        <v>1</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bread</t>
        </is>
      </c>
      <c r="E16" s="7" t="n">
        <v>2140</v>
      </c>
      <c r="F16" s="9" t="n">
        <v>75.5</v>
      </c>
      <c r="G16" s="31" t="n">
        <v>1</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bread items</t>
        </is>
      </c>
      <c r="E17" s="7" t="n">
        <v>1810</v>
      </c>
      <c r="F17" s="9" t="n">
        <v>38</v>
      </c>
      <c r="G17" s="31" t="n">
        <v>1</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bread items</t>
        </is>
      </c>
      <c r="E18" s="7" t="n">
        <v>1635</v>
      </c>
      <c r="F18" s="9" t="n">
        <v>61</v>
      </c>
      <c r="G18" s="31" t="n">
        <v>1</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bread</t>
        </is>
      </c>
      <c r="E19" s="7" t="n">
        <v>2080</v>
      </c>
      <c r="F19" s="9" t="n">
        <v>62</v>
      </c>
      <c r="G19" s="31" t="n">
        <v>1</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bread items</t>
        </is>
      </c>
      <c r="E20" s="7" t="n">
        <v>2055</v>
      </c>
      <c r="F20" s="9" t="n">
        <v>69</v>
      </c>
      <c r="G20" s="31" t="n">
        <v>1</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COUNT(Daily!$A$5:$A$8)</f>
        <v/>
      </c>
    </row>
    <row r="6">
      <c r="A6" s="29" t="inlineStr">
        <is>
          <t>Avg calories/day (mid)</t>
        </is>
      </c>
      <c r="B6" s="8">
        <f>IFERROR(AVERAGE(Daily!$D$5:$D$8),0)</f>
        <v/>
      </c>
    </row>
    <row r="7">
      <c r="A7" s="29" t="inlineStr">
        <is>
          <t>Avg protein/day (mid, g)</t>
        </is>
      </c>
      <c r="B7" s="10">
        <f>IFERROR(AVERAGE(Daily!$G$5:$G$8),0)</f>
        <v/>
      </c>
    </row>
    <row r="8">
      <c r="A8" s="29" t="inlineStr">
        <is>
          <t>Avg fat/day (mid, g)</t>
        </is>
      </c>
      <c r="B8" s="10">
        <f>IFERROR(AVERAGE(Daily!$J$5:$J$8),0)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COUNTIFS(Daily!$G$5:$G$8,"&gt;="&amp;Targets!$B$20)</f>
        <v/>
      </c>
    </row>
    <row r="13">
      <c r="A13" s="29" t="inlineStr">
        <is>
          <t>Total pending (unconfirmed) items</t>
        </is>
      </c>
      <c r="B13" s="18">
        <f>SUM(Daily!$L$5:$L$8)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COUNTIFS(Daily!$A$5:$A$8,"&gt;="&amp;$A17,Daily!$A$5:$A$8,"&lt;="&amp;$B17)</f>
        <v/>
      </c>
      <c r="D17" s="8">
        <f>IFERROR(AVERAGEIFS(Daily!$D$5:$D$8,Daily!$A$5:$A$8,"&gt;="&amp;$A17,Daily!$A$5:$A$8,"&lt;="&amp;$B17),0)</f>
        <v/>
      </c>
      <c r="E17" s="10">
        <f>IFERROR(AVERAGEIFS(Daily!$G$5:$G$8,Daily!$A$5:$A$8,"&gt;="&amp;$A17,Daily!$A$5:$A$8,"&lt;="&amp;$B17),0)</f>
        <v/>
      </c>
      <c r="F17" s="10">
        <f>IFERROR(AVERAGEIFS(Daily!$J$5:$J$8,Daily!$A$5:$A$8,"&gt;="&amp;$A17,Daily!$A$5:$A$8,"&lt;="&amp;$B17),0)</f>
        <v/>
      </c>
    </row>
    <row r="18">
      <c r="A18" s="4" t="n">
        <v>46272</v>
      </c>
      <c r="B18" s="4" t="n">
        <v>46278</v>
      </c>
      <c r="C18" s="18">
        <f>COUNTIFS(Daily!$A$5:$A$8,"&gt;="&amp;$A18,Daily!$A$5:$A$8,"&lt;="&amp;$B18)</f>
        <v/>
      </c>
      <c r="D18" s="8">
        <f>IFERROR(AVERAGEIFS(Daily!$D$5:$D$8,Daily!$A$5:$A$8,"&gt;="&amp;$A18,Daily!$A$5:$A$8,"&lt;="&amp;$B18),0)</f>
        <v/>
      </c>
      <c r="E18" s="10">
        <f>IFERROR(AVERAGEIFS(Daily!$G$5:$G$8,Daily!$A$5:$A$8,"&gt;="&amp;$A18,Daily!$A$5:$A$8,"&lt;="&amp;$B18),0)</f>
        <v/>
      </c>
      <c r="F18" s="10">
        <f>IFERROR(AVERAGEIFS(Daily!$J$5:$J$8,Daily!$A$5:$A$8,"&gt;="&amp;$A18,Daily!$A$5:$A$8,"&lt;="&amp;$B18),0)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COUNTIFS(Daily!$A$5:$A$8,"&gt;="&amp;$A22,Daily!$A$5:$A$8,"&lt;="&amp;$B22)</f>
        <v/>
      </c>
      <c r="D22" s="8">
        <f>IFERROR(AVERAGEIFS(Daily!$D$5:$D$8,Daily!$A$5:$A$8,"&gt;="&amp;$A22,Daily!$A$5:$A$8,"&lt;="&amp;$B22),0)</f>
        <v/>
      </c>
      <c r="E22" s="10">
        <f>IFERROR(AVERAGEIFS(Daily!$G$5:$G$8,Daily!$A$5:$A$8,"&gt;="&amp;$A22,Daily!$A$5:$A$8,"&lt;="&amp;$B22),0)</f>
        <v/>
      </c>
      <c r="F22" s="10">
        <f>IFERROR(AVERAGEIFS(Daily!$J$5:$J$8,Daily!$A$5:$A$8,"&gt;="&amp;$A22,Daily!$A$5:$A$8,"&lt;="&amp;$B22),0)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sheetData>
  <mergeCells count="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0"/>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Potato bhaji / curry (small bowl)</t>
        </is>
      </c>
      <c r="B8" s="7" t="n">
        <v>150</v>
      </c>
      <c r="C8" s="7" t="n">
        <v>220</v>
      </c>
      <c r="D8" s="8">
        <f>AVERAGE(B8:C8)</f>
        <v/>
      </c>
      <c r="E8" s="5" t="inlineStr">
        <is>
          <t>~3-4 g</t>
        </is>
      </c>
      <c r="F8" s="6" t="inlineStr">
        <is>
          <t>Kerala style; oil and coconut milk carry the calories</t>
        </is>
      </c>
    </row>
    <row r="9">
      <c r="A9" s="6" t="inlineStr">
        <is>
          <t>Sambar (with veg)</t>
        </is>
      </c>
      <c r="B9" s="7" t="n">
        <v>130</v>
      </c>
      <c r="C9" s="7" t="n">
        <v>160</v>
      </c>
      <c r="D9" s="8">
        <f>AVERAGE(B9:C9)</f>
        <v/>
      </c>
      <c r="E9" s="5" t="inlineStr">
        <is>
          <t>~4-6 g</t>
        </is>
      </c>
      <c r="F9" s="6" t="inlineStr">
        <is>
          <t>Per serving</t>
        </is>
      </c>
    </row>
    <row r="10">
      <c r="A10" s="6" t="inlineStr">
        <is>
          <t>Coconut chutney (~2 tbsp)</t>
        </is>
      </c>
      <c r="B10" s="7" t="n">
        <v>90</v>
      </c>
      <c r="C10" s="7" t="n">
        <v>110</v>
      </c>
      <c r="D10" s="8">
        <f>AVERAGE(B10:C10)</f>
        <v/>
      </c>
      <c r="E10" s="5" t="inlineStr">
        <is>
          <t>~1-2 g</t>
        </is>
      </c>
      <c r="F10" s="6" t="inlineStr">
        <is>
          <t>Fat-dense - the usual thing to cut</t>
        </is>
      </c>
    </row>
    <row r="11">
      <c r="A11" s="6" t="inlineStr">
        <is>
          <t>Red/tomato chutney (~2 tbsp)</t>
        </is>
      </c>
      <c r="B11" s="7" t="n">
        <v>40</v>
      </c>
      <c r="C11" s="7" t="n">
        <v>70</v>
      </c>
      <c r="D11" s="8">
        <f>AVERAGE(B11:C11)</f>
        <v/>
      </c>
      <c r="E11" s="5" t="inlineStr">
        <is>
          <t>~1 g</t>
        </is>
      </c>
      <c r="F11" s="6" t="inlineStr"/>
    </row>
    <row r="12">
      <c r="A12" s="6" t="inlineStr">
        <is>
          <t>Chicken biryani (half plate)</t>
        </is>
      </c>
      <c r="B12" s="7" t="n">
        <v>450</v>
      </c>
      <c r="C12" s="7" t="n">
        <v>600</v>
      </c>
      <c r="D12" s="8">
        <f>AVERAGE(B12:C12)</f>
        <v/>
      </c>
      <c r="E12" s="5" t="inlineStr">
        <is>
          <t>~22-30 g</t>
        </is>
      </c>
      <c r="F12" s="6" t="inlineStr">
        <is>
          <t>Rice + 2 pieces</t>
        </is>
      </c>
    </row>
    <row r="13">
      <c r="A13" s="6" t="inlineStr">
        <is>
          <t>Raita (small)</t>
        </is>
      </c>
      <c r="B13" s="7" t="n">
        <v>50</v>
      </c>
      <c r="C13" s="7" t="n">
        <v>80</v>
      </c>
      <c r="D13" s="8">
        <f>AVERAGE(B13:C13)</f>
        <v/>
      </c>
      <c r="E13" s="5" t="inlineStr">
        <is>
          <t>~2-4 g</t>
        </is>
      </c>
      <c r="F13" s="6" t="inlineStr"/>
    </row>
    <row r="14">
      <c r="A14" s="6" t="inlineStr">
        <is>
          <t>Maida porotta</t>
        </is>
      </c>
      <c r="B14" s="7" t="n">
        <v>160</v>
      </c>
      <c r="C14" s="7" t="n">
        <v>250</v>
      </c>
      <c r="D14" s="8">
        <f>AVERAGE(B14:C14)</f>
        <v/>
      </c>
      <c r="E14" s="5" t="inlineStr">
        <is>
          <t>~4-6 g each</t>
        </is>
      </c>
      <c r="F14" s="6" t="inlineStr">
        <is>
          <t>Refined flour + layered oil/ghee</t>
        </is>
      </c>
    </row>
    <row r="15">
      <c r="A15" s="6" t="inlineStr">
        <is>
          <t>Uzhunnu vada / medu vada (1)</t>
        </is>
      </c>
      <c r="B15" s="7" t="n">
        <v>130</v>
      </c>
      <c r="C15" s="7" t="n">
        <v>180</v>
      </c>
      <c r="D15" s="8">
        <f>AVERAGE(B15:C15)</f>
        <v/>
      </c>
      <c r="E15" s="5" t="inlineStr">
        <is>
          <t>~3.5-5 g each</t>
        </is>
      </c>
      <c r="F15" s="6" t="inlineStr">
        <is>
          <t>Deep-fried urad dal - protein-bearing but fat-dense</t>
        </is>
      </c>
    </row>
    <row r="16">
      <c r="A16" s="6" t="inlineStr">
        <is>
          <t>Kadala curry (1 container)</t>
        </is>
      </c>
      <c r="B16" s="7" t="n">
        <v>200</v>
      </c>
      <c r="C16" s="7" t="n">
        <v>300</v>
      </c>
      <c r="D16" s="8">
        <f>AVERAGE(B16:C16)</f>
        <v/>
      </c>
      <c r="E16" s="5" t="inlineStr">
        <is>
          <t>~8-10 g</t>
        </is>
      </c>
      <c r="F16" s="6" t="inlineStr"/>
    </row>
    <row r="17">
      <c r="A17" s="6" t="inlineStr">
        <is>
          <t>Fish fry (1 piece pan-fried)</t>
        </is>
      </c>
      <c r="B17" s="7" t="n">
        <v>150</v>
      </c>
      <c r="C17" s="7" t="n">
        <v>220</v>
      </c>
      <c r="D17" s="8">
        <f>AVERAGE(B17:C17)</f>
        <v/>
      </c>
      <c r="E17" s="5" t="inlineStr">
        <is>
          <t>~15-20 g</t>
        </is>
      </c>
      <c r="F17" s="6" t="inlineStr"/>
    </row>
    <row r="18">
      <c r="A18" s="6" t="inlineStr">
        <is>
          <t>Grilled chicken breast (100 g skinless)</t>
        </is>
      </c>
      <c r="B18" s="7" t="n">
        <v>160</v>
      </c>
      <c r="C18" s="7" t="n">
        <v>180</v>
      </c>
      <c r="D18" s="8">
        <f>AVERAGE(B18:C18)</f>
        <v/>
      </c>
      <c r="E18" s="5" t="inlineStr">
        <is>
          <t>~30-32 g</t>
        </is>
      </c>
      <c r="F18" s="6" t="inlineStr">
        <is>
          <t>Best protein-per-calorie item in this list</t>
        </is>
      </c>
    </row>
    <row r="19">
      <c r="A19" s="6" t="inlineStr">
        <is>
          <t>Grilled chicken breast (150 g skinless)</t>
        </is>
      </c>
      <c r="B19" s="7" t="n">
        <v>240</v>
      </c>
      <c r="C19" s="7" t="n">
        <v>270</v>
      </c>
      <c r="D19" s="8">
        <f>AVERAGE(B19:C19)</f>
        <v/>
      </c>
      <c r="E19" s="5" t="inlineStr">
        <is>
          <t>~45-48 g</t>
        </is>
      </c>
      <c r="F19" s="6" t="inlineStr"/>
    </row>
    <row r="20">
      <c r="A20" s="6" t="inlineStr">
        <is>
          <t>Honest Bowl - Grilled Chicken and Rice Bowl</t>
        </is>
      </c>
      <c r="B20" s="7" t="n">
        <v>550</v>
      </c>
      <c r="C20" s="7" t="n">
        <v>710</v>
      </c>
      <c r="D20" s="8">
        <f>AVERAGE(B20:C20)</f>
        <v/>
      </c>
      <c r="E20" s="5" t="inlineStr">
        <is>
          <t>42-48 g</t>
        </is>
      </c>
      <c r="F20" s="6" t="inlineStr">
        <is>
          <t>Menu states 42 g protein; chicken + jasmine rice + sweet potato. Sauce served separately</t>
        </is>
      </c>
    </row>
    <row r="21">
      <c r="A21" s="6" t="inlineStr">
        <is>
          <t>Brown/mushroom sauce (side pot)</t>
        </is>
      </c>
      <c r="B21" s="7" t="n">
        <v>50</v>
      </c>
      <c r="C21" s="7" t="n">
        <v>120</v>
      </c>
      <c r="D21" s="8">
        <f>AVERAGE(B21:C21)</f>
        <v/>
      </c>
      <c r="E21" s="5" t="inlineStr">
        <is>
          <t>~1-2 g</t>
        </is>
      </c>
      <c r="F21" s="6" t="inlineStr">
        <is>
          <t>Often cream or butter based - the variable in a bowl like this</t>
        </is>
      </c>
    </row>
    <row r="22">
      <c r="A22" s="6" t="inlineStr">
        <is>
          <t>Honest Bowl - Tofu Delight Bowl</t>
        </is>
      </c>
      <c r="B22" s="7" t="n">
        <v>420</v>
      </c>
      <c r="C22" s="7" t="n">
        <v>560</v>
      </c>
      <c r="D22" s="8">
        <f>AVERAGE(B22:C22)</f>
        <v/>
      </c>
      <c r="E22" s="5" t="inlineStr">
        <is>
          <t>~20 g</t>
        </is>
      </c>
      <c r="F22" s="6" t="inlineStr">
        <is>
          <t>Menu states 20 g; jasmine rice + cajun tofu + grilled eggplant. Half the protein of the chicken bowl at the same price</t>
        </is>
      </c>
    </row>
    <row r="23">
      <c r="A23" s="6" t="inlineStr">
        <is>
          <t>Chicken curry (1 takeaway container)</t>
        </is>
      </c>
      <c r="B23" s="7" t="n">
        <v>280</v>
      </c>
      <c r="C23" s="7" t="n">
        <v>420</v>
      </c>
      <c r="D23" s="8">
        <f>AVERAGE(B23:C23)</f>
        <v/>
      </c>
      <c r="E23" s="5" t="inlineStr">
        <is>
          <t>~20-28 g</t>
        </is>
      </c>
      <c r="F23" s="6" t="inlineStr">
        <is>
          <t>Kerala style; oil and coconut carry most of the calories</t>
        </is>
      </c>
    </row>
    <row r="24">
      <c r="A24" s="6" t="inlineStr">
        <is>
          <t>Grilled chicken quarter (skin on)</t>
        </is>
      </c>
      <c r="B24" s="7" t="n">
        <v>250</v>
      </c>
      <c r="C24" s="7" t="n">
        <v>320</v>
      </c>
      <c r="D24" s="8">
        <f>AVERAGE(B24:C24)</f>
        <v/>
      </c>
      <c r="E24" s="5" t="inlineStr">
        <is>
          <t>~28-33 g</t>
        </is>
      </c>
      <c r="F24" s="6" t="inlineStr">
        <is>
          <t>Skin adds ~12-15 g fat over breast</t>
        </is>
      </c>
    </row>
    <row r="25">
      <c r="A25" s="6" t="inlineStr">
        <is>
          <t>Garlic sauce / toum (1 tbsp)</t>
        </is>
      </c>
      <c r="B25" s="7" t="n">
        <v>90</v>
      </c>
      <c r="C25" s="7" t="n">
        <v>110</v>
      </c>
      <c r="D25" s="8">
        <f>AVERAGE(B25:C25)</f>
        <v/>
      </c>
      <c r="E25" s="5" t="inlineStr">
        <is>
          <t>0 g</t>
        </is>
      </c>
      <c r="F25" s="6" t="inlineStr">
        <is>
          <t>Essentially emulsified oil - the hidden cost at a grill</t>
        </is>
      </c>
    </row>
    <row r="26">
      <c r="A26" s="6" t="inlineStr">
        <is>
          <t>Khubz / pita (1 large)</t>
        </is>
      </c>
      <c r="B26" s="7" t="n">
        <v>250</v>
      </c>
      <c r="C26" s="7" t="n">
        <v>300</v>
      </c>
      <c r="D26" s="8">
        <f>AVERAGE(B26:C26)</f>
        <v/>
      </c>
      <c r="E26" s="5" t="inlineStr">
        <is>
          <t>~8-9 g</t>
        </is>
      </c>
      <c r="F26" s="6" t="inlineStr"/>
    </row>
    <row r="27">
      <c r="A27" s="6" t="inlineStr">
        <is>
          <t>Barik/basmati rice (half container cooked)</t>
        </is>
      </c>
      <c r="B27" s="7" t="n">
        <v>200</v>
      </c>
      <c r="C27" s="7" t="n">
        <v>280</v>
      </c>
      <c r="D27" s="8">
        <f>AVERAGE(B27:C27)</f>
        <v/>
      </c>
      <c r="E27" s="5" t="inlineStr">
        <is>
          <t>~4-5 g</t>
        </is>
      </c>
      <c r="F27" s="6" t="inlineStr"/>
    </row>
    <row r="28">
      <c r="A28" s="6" t="inlineStr">
        <is>
          <t>Fresh pineapple juice (350-450 ml)</t>
        </is>
      </c>
      <c r="B28" s="7" t="n">
        <v>175</v>
      </c>
      <c r="C28" s="7" t="n">
        <v>240</v>
      </c>
      <c r="D28" s="8">
        <f>AVERAGE(B28:C28)</f>
        <v/>
      </c>
      <c r="E28" s="5" t="inlineStr">
        <is>
          <t>~1-2 g</t>
        </is>
      </c>
      <c r="F28" s="6" t="inlineStr">
        <is>
          <t>No added sugar but ~35-45 g natural sugar; no fibre; almost no protein</t>
        </is>
      </c>
    </row>
    <row r="29">
      <c r="A29" s="6" t="inlineStr">
        <is>
          <t>Fresh orange juice (350-450 ml)</t>
        </is>
      </c>
      <c r="B29" s="7" t="n">
        <v>155</v>
      </c>
      <c r="C29" s="7" t="n">
        <v>205</v>
      </c>
      <c r="D29" s="8">
        <f>AVERAGE(B29:C29)</f>
        <v/>
      </c>
      <c r="E29" s="5" t="inlineStr">
        <is>
          <t>~2-3 g</t>
        </is>
      </c>
      <c r="F29" s="6" t="inlineStr">
        <is>
          <t>No added sugar but ~32-40 g natural sugar; no fibre</t>
        </is>
      </c>
    </row>
    <row r="30">
      <c r="A30" s="6" t="inlineStr">
        <is>
          <t>Whey scoop (in water)</t>
        </is>
      </c>
      <c r="B30" s="7" t="n">
        <v>100</v>
      </c>
      <c r="C30" s="7" t="n">
        <v>120</v>
      </c>
      <c r="D30" s="8">
        <f>AVERAGE(B30:C30)</f>
        <v/>
      </c>
      <c r="E30" s="5" t="inlineStr">
        <is>
          <t>~20-25 g</t>
        </is>
      </c>
      <c r="F30" s="6" t="inlineStr"/>
    </row>
    <row r="31">
      <c r="A31" s="6" t="inlineStr">
        <is>
          <t>Greek yogurt (200 g plain low-fat)</t>
        </is>
      </c>
      <c r="B31" s="7" t="n">
        <v>120</v>
      </c>
      <c r="C31" s="7" t="n">
        <v>140</v>
      </c>
      <c r="D31" s="8">
        <f>AVERAGE(B31:C31)</f>
        <v/>
      </c>
      <c r="E31" s="5" t="inlineStr">
        <is>
          <t>~18-20 g</t>
        </is>
      </c>
      <c r="F31" s="6" t="inlineStr">
        <is>
          <t>Casein - digests slowly; good overnight</t>
        </is>
      </c>
    </row>
    <row r="32">
      <c r="A32" s="6" t="inlineStr">
        <is>
          <t>Boiled egg (1 large)</t>
        </is>
      </c>
      <c r="B32" s="7" t="n">
        <v>70</v>
      </c>
      <c r="C32" s="7" t="n">
        <v>78</v>
      </c>
      <c r="D32" s="8">
        <f>AVERAGE(B32:C32)</f>
        <v/>
      </c>
      <c r="E32" s="5" t="inlineStr">
        <is>
          <t>~6-6.5 g</t>
        </is>
      </c>
      <c r="F32" s="6" t="inlineStr">
        <is>
          <t>~5 g fat each</t>
        </is>
      </c>
    </row>
    <row r="33">
      <c r="A33" s="6" t="inlineStr">
        <is>
          <t>Paneer (50 g full-fat)</t>
        </is>
      </c>
      <c r="B33" s="7" t="n">
        <v>130</v>
      </c>
      <c r="C33" s="7" t="n">
        <v>150</v>
      </c>
      <c r="D33" s="8">
        <f>AVERAGE(B33:C33)</f>
        <v/>
      </c>
      <c r="E33" s="5" t="inlineStr">
        <is>
          <t>~8-9 g</t>
        </is>
      </c>
      <c r="F33" s="6" t="inlineStr">
        <is>
          <t>Fat-dense for the protein it gives</t>
        </is>
      </c>
    </row>
    <row r="34">
      <c r="A34" s="6" t="inlineStr">
        <is>
          <t>Cucumber (1 medium)</t>
        </is>
      </c>
      <c r="B34" s="7" t="n">
        <v>25</v>
      </c>
      <c r="C34" s="7" t="n">
        <v>30</v>
      </c>
      <c r="D34" s="8">
        <f>AVERAGE(B34:C34)</f>
        <v/>
      </c>
      <c r="E34" s="5" t="inlineStr">
        <is>
          <t>~1.5 g</t>
        </is>
      </c>
      <c r="F34" s="6" t="inlineStr">
        <is>
          <t>Volume with almost no calories</t>
        </is>
      </c>
    </row>
    <row r="35">
      <c r="A35" s="6" t="inlineStr">
        <is>
          <t>Sweet melon / cantaloupe (1 wedge ~100-150 g)</t>
        </is>
      </c>
      <c r="B35" s="7" t="n">
        <v>35</v>
      </c>
      <c r="C35" s="7" t="n">
        <v>55</v>
      </c>
      <c r="D35" s="8">
        <f>AVERAGE(B35:C35)</f>
        <v/>
      </c>
      <c r="E35" s="5" t="inlineStr">
        <is>
          <t>~0.5-1 g</t>
        </is>
      </c>
      <c r="F35" s="6" t="inlineStr">
        <is>
          <t>Whole fruit - fibre and water intact; ~1/4 the calories of the same fruit juiced</t>
        </is>
      </c>
    </row>
    <row r="36">
      <c r="A36" s="6" t="inlineStr">
        <is>
          <t>Whey scoop (in black coffee no sugar)</t>
        </is>
      </c>
      <c r="B36" s="7" t="n">
        <v>100</v>
      </c>
      <c r="C36" s="7" t="n">
        <v>130</v>
      </c>
      <c r="D36" s="8">
        <f>AVERAGE(B36:C36)</f>
        <v/>
      </c>
      <c r="E36" s="5" t="inlineStr">
        <is>
          <t>~20-25 g</t>
        </is>
      </c>
      <c r="F36" s="6" t="inlineStr"/>
    </row>
    <row r="37">
      <c r="A37" s="6" t="inlineStr">
        <is>
          <t>Cashew/almond biscuit (1)</t>
        </is>
      </c>
      <c r="B37" s="7" t="n">
        <v>38</v>
      </c>
      <c r="C37" s="7" t="n">
        <v>38</v>
      </c>
      <c r="D37" s="8">
        <f>AVERAGE(B37:C37)</f>
        <v/>
      </c>
      <c r="E37" s="5" t="inlineStr">
        <is>
          <t>~0.5 g</t>
        </is>
      </c>
      <c r="F37" s="6" t="inlineStr"/>
    </row>
    <row r="38">
      <c r="A38" s="6" t="inlineStr">
        <is>
          <t>Chocolate bar (~50g standard)</t>
        </is>
      </c>
      <c r="B38" s="7" t="n">
        <v>245</v>
      </c>
      <c r="C38" s="7" t="n">
        <v>250</v>
      </c>
      <c r="D38" s="8">
        <f>AVERAGE(B38:C38)</f>
        <v/>
      </c>
      <c r="E38" s="5" t="inlineStr">
        <is>
          <t>~4 g</t>
        </is>
      </c>
      <c r="F38" s="6" t="inlineStr"/>
    </row>
    <row r="39">
      <c r="A39" s="6" t="inlineStr">
        <is>
          <t>Chocolate bar (70g king-size)</t>
        </is>
      </c>
      <c r="B39" s="7" t="n">
        <v>335</v>
      </c>
      <c r="C39" s="7" t="n">
        <v>335</v>
      </c>
      <c r="D39" s="8">
        <f>AVERAGE(B39:C39)</f>
        <v/>
      </c>
      <c r="E39" s="5" t="inlineStr">
        <is>
          <t>~6 g</t>
        </is>
      </c>
      <c r="F39" s="6" t="inlineStr"/>
    </row>
    <row r="40">
      <c r="A40" s="6" t="inlineStr">
        <is>
          <t>Pre-workout scoop</t>
        </is>
      </c>
      <c r="B40" s="7" t="n">
        <v>5</v>
      </c>
      <c r="C40" s="7" t="n">
        <v>15</v>
      </c>
      <c r="D40" s="8">
        <f>AVERAGE(B40:C40)</f>
        <v/>
      </c>
      <c r="E40" s="5" t="inlineStr">
        <is>
          <t>0 g</t>
        </is>
      </c>
      <c r="F40"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2026-09-07T09:08:55Z</dcterms:created>
  <dcterms:modified xsi:type="dcterms:W3CDTF">2026-09-07T09:08:55Z</dcterms:modified>
</cp:coreProperties>
</file>